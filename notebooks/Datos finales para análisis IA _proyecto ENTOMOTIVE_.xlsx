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DV.5047200\Documents\Postdoc 10_07_2025\Post doctoral\PROFESOR UAM\Profesor Ayudante Doctor\Papers\IA INSECTOS\"/>
    </mc:Choice>
  </mc:AlternateContent>
  <xr:revisionPtr revIDLastSave="0" documentId="13_ncr:1_{D351FE39-D7D1-45AC-8A66-E3C9BE8ED74F}" xr6:coauthVersionLast="47" xr6:coauthVersionMax="47" xr10:uidLastSave="{00000000-0000-0000-0000-000000000000}"/>
  <bookViews>
    <workbookView xWindow="-120" yWindow="-120" windowWidth="29040" windowHeight="15720" tabRatio="868" activeTab="7" xr2:uid="{C8142578-AA95-4504-BFA4-A27233BFE37C}"/>
  </bookViews>
  <sheets>
    <sheet name="Dietas HERMETIA" sheetId="9" r:id="rId1"/>
    <sheet name="Dietas TENEBRIO" sheetId="23" r:id="rId2"/>
    <sheet name="Parámetros productivos HERMETIA" sheetId="12" r:id="rId3"/>
    <sheet name="Parámetro productivos TENEBRIO" sheetId="26" r:id="rId4"/>
    <sheet name="HERMETIA larvas" sheetId="14" r:id="rId5"/>
    <sheet name="TENEBRIO larvas" sheetId="28" r:id="rId6"/>
    <sheet name="TPC HERMETIA" sheetId="32" r:id="rId7"/>
    <sheet name="TPC TENEBRIO" sheetId="3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4" l="1"/>
  <c r="G7" i="14"/>
  <c r="G9" i="14"/>
  <c r="G10" i="14"/>
  <c r="G11" i="14"/>
  <c r="G13" i="14"/>
  <c r="G14" i="14"/>
  <c r="G15" i="14"/>
  <c r="G17" i="14"/>
  <c r="G18" i="14"/>
  <c r="G19" i="14"/>
  <c r="G21" i="14"/>
  <c r="G22" i="14"/>
  <c r="G23" i="14"/>
  <c r="G25" i="14"/>
  <c r="G26" i="14"/>
  <c r="G27" i="14"/>
  <c r="G29" i="14"/>
  <c r="G30" i="14"/>
  <c r="G31" i="14"/>
  <c r="G33" i="14"/>
  <c r="G34" i="14"/>
  <c r="G35" i="14"/>
  <c r="G37" i="14"/>
  <c r="G38" i="14"/>
  <c r="G39" i="14"/>
  <c r="G41" i="14"/>
  <c r="G42" i="14"/>
  <c r="G43" i="14"/>
  <c r="G45" i="14"/>
  <c r="G46" i="14"/>
  <c r="G47" i="14"/>
  <c r="G5" i="14"/>
  <c r="G6" i="28"/>
  <c r="G7" i="28"/>
  <c r="G9" i="28"/>
  <c r="G10" i="28"/>
  <c r="G11" i="28"/>
  <c r="G13" i="28"/>
  <c r="G14" i="28"/>
  <c r="G15" i="28"/>
  <c r="G17" i="28"/>
  <c r="G18" i="28"/>
  <c r="G19" i="28"/>
  <c r="G21" i="28"/>
  <c r="G22" i="28"/>
  <c r="G23" i="28"/>
  <c r="G25" i="28"/>
  <c r="G26" i="28"/>
  <c r="G27" i="28"/>
  <c r="G29" i="28"/>
  <c r="G30" i="28"/>
  <c r="G31" i="28"/>
  <c r="G33" i="28"/>
  <c r="G34" i="28"/>
  <c r="G35" i="28"/>
  <c r="G37" i="28"/>
  <c r="G38" i="28"/>
  <c r="G39" i="28"/>
  <c r="G41" i="28"/>
  <c r="G42" i="28"/>
  <c r="G43" i="28"/>
  <c r="G45" i="28"/>
  <c r="G46" i="28"/>
  <c r="G47" i="28"/>
  <c r="G5" i="28"/>
</calcChain>
</file>

<file path=xl/sharedStrings.xml><?xml version="1.0" encoding="utf-8"?>
<sst xmlns="http://schemas.openxmlformats.org/spreadsheetml/2006/main" count="1446" uniqueCount="60">
  <si>
    <t>Tratamiento</t>
  </si>
  <si>
    <t>Control</t>
  </si>
  <si>
    <t>Hoja15</t>
  </si>
  <si>
    <t>Hoja30</t>
  </si>
  <si>
    <t>Hoja50</t>
  </si>
  <si>
    <t>Orujo30</t>
  </si>
  <si>
    <t>Orujo50</t>
  </si>
  <si>
    <t>Orujo70</t>
  </si>
  <si>
    <t>Orujo90</t>
  </si>
  <si>
    <t>Quinoa15</t>
  </si>
  <si>
    <t>Quinoa30</t>
  </si>
  <si>
    <t>Quinoa50</t>
  </si>
  <si>
    <t>PROTEINA (%)</t>
  </si>
  <si>
    <t>CENIZAS (%)</t>
  </si>
  <si>
    <t>QUITINA (%)</t>
  </si>
  <si>
    <t>GRASA (%)</t>
  </si>
  <si>
    <t/>
  </si>
  <si>
    <t>CARBOHIDRATOS (%)</t>
  </si>
  <si>
    <t>Dieta</t>
  </si>
  <si>
    <t>PARÁMETROS PRODUCTIVOS DE HERMETIA ILLUCENS</t>
  </si>
  <si>
    <t xml:space="preserve">FCR </t>
  </si>
  <si>
    <t>Ganancia de peso (mg) media diaria por larva</t>
  </si>
  <si>
    <t>PARÁMETROS PRODUCTIVOS DE TENEBRIO MOLITOR</t>
  </si>
  <si>
    <t>Ganancia de peso (mg) por larva</t>
  </si>
  <si>
    <t>Reducción (%) del sustrato (reducción de la masa de dieta suministrada)</t>
  </si>
  <si>
    <t>Reducción diaria (%) del sustrato (reducción diaria de la masa de dieta suministrada)</t>
  </si>
  <si>
    <t>Peso total de las larvas (g) al finalizar el periodo de alimentación</t>
  </si>
  <si>
    <t>Peso total del sustrato (g) al finalizar el periodo de alimentación</t>
  </si>
  <si>
    <t>Carbohidratos (%)</t>
  </si>
  <si>
    <t>Proteína (%)</t>
  </si>
  <si>
    <t>Grasa (%)</t>
  </si>
  <si>
    <t>Fibra (%)</t>
  </si>
  <si>
    <t>Cenizas (%)</t>
  </si>
  <si>
    <t>TPC DE LAS DIETAS (%)</t>
  </si>
  <si>
    <t>Media</t>
  </si>
  <si>
    <t>SD</t>
  </si>
  <si>
    <t>TPC DE LAS LARVAS (%)</t>
  </si>
  <si>
    <t>COMPOSICIÓN NUTRICIONAL DE LAS DIETAS PROPORCIONADAS A HERMETIA ILLUCENS (VALORES MEDIOS Y DESVIACIÓN ESTÁNDAR)</t>
  </si>
  <si>
    <t>COMPOSICIÓN NUTRICIONAL DE LAS DIETAS PROPORCIONADAS A TENEBRIO MOLITOR (VALORES MEDIOS Y DESVIACIÓN ESTÁNDAR)</t>
  </si>
  <si>
    <t>COMPOSICIÓN NUTRICIONAL DE LAS LARVAS DE HERMETIA TRAS LA CRÍA</t>
  </si>
  <si>
    <t>COMPOSICIÓN NUTRICIONAL DE LAS LARVAS DE TENEBRIO TRAS LA CRÍA</t>
  </si>
  <si>
    <t>CANTIDAD DE TPC EN LAS DIETAS Y EN LA COMPOSICIÓN DE HERMETIA ILLUCENS (VALORES MEDIOS Y DESVIACIONES ESTÁNDAR)</t>
  </si>
  <si>
    <t>CANTIDAD DE TPC EN LAS DIETAS Y EN LA COMPOSICIÓN DE TENEBRIO MOLITOR (VALORES MEDIOS Y DESVIACIONES ESTÁNDAR)</t>
  </si>
  <si>
    <t>Orujillo15</t>
  </si>
  <si>
    <t>Orujillo30</t>
  </si>
  <si>
    <t>Orujillo50</t>
  </si>
  <si>
    <t>A</t>
  </si>
  <si>
    <t>B</t>
  </si>
  <si>
    <t>C</t>
  </si>
  <si>
    <t>D</t>
  </si>
  <si>
    <t>Posos café liof15</t>
  </si>
  <si>
    <t>Posos café horno15</t>
  </si>
  <si>
    <t>E</t>
  </si>
  <si>
    <t>F</t>
  </si>
  <si>
    <t>Control Seco</t>
  </si>
  <si>
    <t>A.1</t>
  </si>
  <si>
    <t>A.2</t>
  </si>
  <si>
    <t>A.3</t>
  </si>
  <si>
    <t>Control Agar</t>
  </si>
  <si>
    <t>Control Humedad superf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</si>
</sst>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64" fontId="0" fillId="0" borderId="0" xfId="0" applyNumberFormat="1"/>
    <xf numFmtId="0" fontId="2" fillId="0" borderId="0" xfId="0" applyFon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/>
    <xf numFmtId="165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3" fillId="0" borderId="0" xfId="0" applyFont="1" applyFill="1"/>
    <xf numFmtId="0" fontId="3" fillId="0" borderId="0" xfId="0" applyFont="1" applyFill="1" applyAlignment="1">
      <alignment horizontal="left" vertical="top"/>
    </xf>
    <xf numFmtId="0" fontId="0" fillId="0" borderId="0" xfId="0" applyFill="1"/>
    <xf numFmtId="0" fontId="0" fillId="0" borderId="0" xfId="0" applyFill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164" fontId="0" fillId="0" borderId="0" xfId="0" applyNumberFormat="1" applyFill="1"/>
    <xf numFmtId="2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 vertical="center"/>
    </xf>
    <xf numFmtId="2" fontId="4" fillId="0" borderId="0" xfId="0" applyNumberFormat="1" applyFont="1" applyFill="1" applyAlignment="1">
      <alignment horizontal="center" vertical="center"/>
    </xf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912D7-F4D0-45FF-80AC-B7BB22AB6F85}">
  <dimension ref="A1:Z48"/>
  <sheetViews>
    <sheetView zoomScale="80" zoomScaleNormal="80" workbookViewId="0">
      <selection activeCell="N46" sqref="N46"/>
    </sheetView>
  </sheetViews>
  <sheetFormatPr baseColWidth="10" defaultColWidth="11.42578125" defaultRowHeight="15" x14ac:dyDescent="0.25"/>
  <cols>
    <col min="2" max="2" width="14" customWidth="1"/>
    <col min="3" max="3" width="14.5703125" customWidth="1"/>
    <col min="4" max="4" width="13.140625" customWidth="1"/>
    <col min="5" max="5" width="13.7109375" customWidth="1"/>
    <col min="6" max="7" width="14.28515625" customWidth="1"/>
    <col min="8" max="8" width="14.85546875" customWidth="1"/>
    <col min="9" max="10" width="21" bestFit="1" customWidth="1"/>
    <col min="11" max="11" width="21.42578125" bestFit="1" customWidth="1"/>
    <col min="12" max="13" width="21.85546875" bestFit="1" customWidth="1"/>
  </cols>
  <sheetData>
    <row r="1" spans="1:26" ht="15.75" x14ac:dyDescent="0.25">
      <c r="A1" s="2" t="s">
        <v>37</v>
      </c>
    </row>
    <row r="3" spans="1:26" x14ac:dyDescent="0.25">
      <c r="A3" s="13" t="s">
        <v>18</v>
      </c>
      <c r="B3" s="13" t="s">
        <v>0</v>
      </c>
      <c r="C3" s="15" t="s">
        <v>29</v>
      </c>
      <c r="D3" s="15"/>
      <c r="E3" s="15" t="s">
        <v>30</v>
      </c>
      <c r="F3" s="15"/>
      <c r="G3" s="15" t="s">
        <v>31</v>
      </c>
      <c r="H3" s="15"/>
      <c r="I3" s="15" t="s">
        <v>32</v>
      </c>
      <c r="J3" s="15"/>
      <c r="K3" s="15" t="s">
        <v>28</v>
      </c>
      <c r="L3" s="15"/>
    </row>
    <row r="4" spans="1:26" x14ac:dyDescent="0.25">
      <c r="C4" s="13" t="s">
        <v>34</v>
      </c>
      <c r="D4" s="13" t="s">
        <v>35</v>
      </c>
      <c r="E4" s="13" t="s">
        <v>34</v>
      </c>
      <c r="F4" s="13" t="s">
        <v>35</v>
      </c>
      <c r="G4" s="13" t="s">
        <v>34</v>
      </c>
      <c r="H4" s="13" t="s">
        <v>35</v>
      </c>
      <c r="I4" s="13" t="s">
        <v>34</v>
      </c>
      <c r="J4" s="13" t="s">
        <v>35</v>
      </c>
      <c r="K4" s="13" t="s">
        <v>34</v>
      </c>
      <c r="L4" s="13" t="s">
        <v>35</v>
      </c>
    </row>
    <row r="5" spans="1:26" x14ac:dyDescent="0.25">
      <c r="A5" s="3" t="s">
        <v>1</v>
      </c>
      <c r="B5" s="3">
        <v>0</v>
      </c>
      <c r="C5" s="9">
        <v>18.175156078827623</v>
      </c>
      <c r="D5" s="9">
        <v>0.43543944232554566</v>
      </c>
      <c r="E5" s="9">
        <v>2.7660179444561863</v>
      </c>
      <c r="F5" s="9">
        <v>2.9604207949352219E-2</v>
      </c>
      <c r="G5" s="9">
        <v>2.5130738088076949</v>
      </c>
      <c r="H5" s="9">
        <v>9.3524628666089099E-2</v>
      </c>
      <c r="I5" s="9">
        <v>22.034335858419862</v>
      </c>
      <c r="J5" s="9">
        <v>9.653028261186121E-2</v>
      </c>
      <c r="K5" s="9">
        <v>54.511416309488631</v>
      </c>
      <c r="L5" s="9">
        <v>0.54781498912999049</v>
      </c>
      <c r="N5" s="4"/>
      <c r="Q5" s="4"/>
      <c r="T5" s="4"/>
      <c r="W5" s="4"/>
      <c r="Z5" s="7"/>
    </row>
    <row r="6" spans="1:26" x14ac:dyDescent="0.25">
      <c r="A6" s="3" t="s">
        <v>2</v>
      </c>
      <c r="B6" s="3">
        <v>1</v>
      </c>
      <c r="C6" s="9">
        <v>16.838123485650616</v>
      </c>
      <c r="D6" s="9">
        <v>0.25804689222305743</v>
      </c>
      <c r="E6" s="9">
        <v>2.6502742093231593</v>
      </c>
      <c r="F6" s="9">
        <v>2.3623966453506326E-2</v>
      </c>
      <c r="G6" s="9">
        <v>3.7022907909892706</v>
      </c>
      <c r="H6" s="9">
        <v>0.18116334654242983</v>
      </c>
      <c r="I6" s="9">
        <v>19.29402821359632</v>
      </c>
      <c r="J6" s="9">
        <v>8.1508779554391037E-2</v>
      </c>
      <c r="K6" s="9">
        <v>57.515283300440636</v>
      </c>
      <c r="L6" s="9">
        <v>4.3625070940696106E-2</v>
      </c>
      <c r="N6" s="4"/>
      <c r="Q6" s="4"/>
      <c r="T6" s="4"/>
      <c r="W6" s="4"/>
      <c r="Z6" s="7"/>
    </row>
    <row r="7" spans="1:26" x14ac:dyDescent="0.25">
      <c r="A7" s="3" t="s">
        <v>3</v>
      </c>
      <c r="B7" s="3">
        <v>2</v>
      </c>
      <c r="C7" s="9">
        <v>15.137501848365227</v>
      </c>
      <c r="D7" s="9">
        <v>0.23808986320009382</v>
      </c>
      <c r="E7" s="9">
        <v>2.6227291341426135</v>
      </c>
      <c r="F7" s="9">
        <v>0.11327770488901004</v>
      </c>
      <c r="G7" s="9">
        <v>5.2236458880007035</v>
      </c>
      <c r="H7" s="9">
        <v>0.11735312771129446</v>
      </c>
      <c r="I7" s="9">
        <v>16.872465816948363</v>
      </c>
      <c r="J7" s="9">
        <v>0.19096939961744491</v>
      </c>
      <c r="K7" s="9">
        <v>60.143657312543077</v>
      </c>
      <c r="L7" s="9">
        <v>0.30566814733955067</v>
      </c>
      <c r="N7" s="4"/>
      <c r="Q7" s="4"/>
      <c r="T7" s="4"/>
      <c r="W7" s="4"/>
      <c r="Z7" s="7"/>
    </row>
    <row r="8" spans="1:26" x14ac:dyDescent="0.25">
      <c r="A8" s="3" t="s">
        <v>4</v>
      </c>
      <c r="B8" s="3">
        <v>3</v>
      </c>
      <c r="C8" s="9">
        <v>13.511367889574666</v>
      </c>
      <c r="D8" s="9">
        <v>0.19193321187865348</v>
      </c>
      <c r="E8" s="9">
        <v>2.931320751170547</v>
      </c>
      <c r="F8" s="9">
        <v>4.1274442203307025E-2</v>
      </c>
      <c r="G8" s="9">
        <v>7.7730088132865802</v>
      </c>
      <c r="H8" s="9">
        <v>0.19748936955887736</v>
      </c>
      <c r="I8" s="9">
        <v>14.292793327531937</v>
      </c>
      <c r="J8" s="9">
        <v>0.16302941822839098</v>
      </c>
      <c r="K8" s="9">
        <v>61.491509218436271</v>
      </c>
      <c r="L8" s="9">
        <v>0.2118036838143485</v>
      </c>
    </row>
    <row r="9" spans="1:26" x14ac:dyDescent="0.25">
      <c r="A9" s="3" t="s">
        <v>5</v>
      </c>
      <c r="B9" s="3">
        <v>4</v>
      </c>
      <c r="C9" s="9">
        <v>16.626012691114081</v>
      </c>
      <c r="D9" s="9">
        <v>1.7578907825086695E-2</v>
      </c>
      <c r="E9" s="9">
        <v>5.9060983031280108</v>
      </c>
      <c r="F9" s="9">
        <v>0.14155628049713287</v>
      </c>
      <c r="G9" s="9">
        <v>7.1527474251889087</v>
      </c>
      <c r="H9" s="9">
        <v>0.29942541399045541</v>
      </c>
      <c r="I9" s="9">
        <v>19.922816493554546</v>
      </c>
      <c r="J9" s="9">
        <v>0.15656335983322817</v>
      </c>
      <c r="K9" s="9">
        <v>50.392325087014456</v>
      </c>
      <c r="L9" s="9">
        <v>0.54299497490283466</v>
      </c>
      <c r="N9" s="4"/>
      <c r="Q9" s="4"/>
      <c r="T9" s="4"/>
      <c r="W9" s="4"/>
      <c r="Z9" s="7"/>
    </row>
    <row r="10" spans="1:26" x14ac:dyDescent="0.25">
      <c r="A10" s="3" t="s">
        <v>6</v>
      </c>
      <c r="B10" s="3">
        <v>5</v>
      </c>
      <c r="C10" s="9">
        <v>14.938606833385997</v>
      </c>
      <c r="D10" s="9">
        <v>0.26886340920931739</v>
      </c>
      <c r="E10" s="9">
        <v>7.2746747295839027</v>
      </c>
      <c r="F10" s="9">
        <v>0.12625252628746414</v>
      </c>
      <c r="G10" s="9">
        <v>11.503108701660596</v>
      </c>
      <c r="H10" s="9">
        <v>0.11780908661050195</v>
      </c>
      <c r="I10" s="9">
        <v>15.247486574423315</v>
      </c>
      <c r="J10" s="9">
        <v>0.31894201977159292</v>
      </c>
      <c r="K10" s="9">
        <v>51.036123160946197</v>
      </c>
      <c r="L10" s="9">
        <v>0.52417823426096055</v>
      </c>
      <c r="N10" s="4"/>
      <c r="Q10" s="4"/>
      <c r="T10" s="4"/>
      <c r="W10" s="4"/>
      <c r="Z10" s="7"/>
    </row>
    <row r="11" spans="1:26" x14ac:dyDescent="0.25">
      <c r="A11" s="3" t="s">
        <v>7</v>
      </c>
      <c r="B11" s="3">
        <v>6</v>
      </c>
      <c r="C11" s="9">
        <v>14.352349432602495</v>
      </c>
      <c r="D11" s="9">
        <v>0.21281400203907744</v>
      </c>
      <c r="E11" s="9">
        <v>9.5006616703572124</v>
      </c>
      <c r="F11" s="9">
        <v>0.1069723939447647</v>
      </c>
      <c r="G11" s="9">
        <v>14.993036730015456</v>
      </c>
      <c r="H11" s="9">
        <v>0.27760859312901898</v>
      </c>
      <c r="I11" s="9">
        <v>13.500152810049789</v>
      </c>
      <c r="J11" s="9">
        <v>0.31360788887568486</v>
      </c>
      <c r="K11" s="9">
        <v>47.65379935697505</v>
      </c>
      <c r="L11" s="9">
        <v>0.37597450424623563</v>
      </c>
      <c r="N11" s="4"/>
      <c r="Q11" s="4"/>
      <c r="T11" s="4"/>
      <c r="W11" s="4"/>
      <c r="Z11" s="7"/>
    </row>
    <row r="12" spans="1:26" x14ac:dyDescent="0.25">
      <c r="A12" s="3" t="s">
        <v>8</v>
      </c>
      <c r="B12" s="3">
        <v>7</v>
      </c>
      <c r="C12" s="9">
        <v>12.528128039175778</v>
      </c>
      <c r="D12" s="9">
        <v>0.46102388286429541</v>
      </c>
      <c r="E12" s="9">
        <v>10.817841387295141</v>
      </c>
      <c r="F12" s="9">
        <v>0.13248012115637783</v>
      </c>
      <c r="G12" s="9">
        <v>19.978772798718733</v>
      </c>
      <c r="H12" s="9">
        <v>0.23034957687295465</v>
      </c>
      <c r="I12" s="9">
        <v>10.484394090050833</v>
      </c>
      <c r="J12" s="9">
        <v>0.37893590961933282</v>
      </c>
      <c r="K12" s="9">
        <v>46.190863684759506</v>
      </c>
      <c r="L12" s="9">
        <v>5.5289552126338605E-2</v>
      </c>
    </row>
    <row r="13" spans="1:26" x14ac:dyDescent="0.25">
      <c r="A13" s="3" t="s">
        <v>9</v>
      </c>
      <c r="B13" s="3">
        <v>8</v>
      </c>
      <c r="C13" s="9">
        <v>16.372396813089125</v>
      </c>
      <c r="D13" s="9">
        <v>0.19357041016836002</v>
      </c>
      <c r="E13" s="9">
        <v>2.7162493247866437</v>
      </c>
      <c r="F13" s="9">
        <v>7.8263257889176624E-2</v>
      </c>
      <c r="G13" s="9">
        <v>2.3546437760590138</v>
      </c>
      <c r="H13" s="9">
        <v>2.9708671674067318E-2</v>
      </c>
      <c r="I13" s="9">
        <v>19.603305387272659</v>
      </c>
      <c r="J13" s="9">
        <v>0.10579398189637042</v>
      </c>
      <c r="K13" s="9">
        <v>58.953404698792554</v>
      </c>
      <c r="L13" s="9">
        <v>0.25605744271154929</v>
      </c>
      <c r="N13" s="4"/>
      <c r="Q13" s="4"/>
      <c r="T13" s="4"/>
      <c r="W13" s="4"/>
      <c r="Z13" s="7"/>
    </row>
    <row r="14" spans="1:26" x14ac:dyDescent="0.25">
      <c r="A14" s="3" t="s">
        <v>10</v>
      </c>
      <c r="B14" s="3">
        <v>9</v>
      </c>
      <c r="C14" s="9">
        <v>15.457510901293055</v>
      </c>
      <c r="D14" s="9">
        <v>0.38889854478012975</v>
      </c>
      <c r="E14" s="9">
        <v>2.974882865378071</v>
      </c>
      <c r="F14" s="9">
        <v>0.10448149945038623</v>
      </c>
      <c r="G14" s="9">
        <v>2.5888715478650632</v>
      </c>
      <c r="H14" s="9">
        <v>0.18967143603725395</v>
      </c>
      <c r="I14" s="9">
        <v>19.048045498494279</v>
      </c>
      <c r="J14" s="9">
        <v>0.25483261236258875</v>
      </c>
      <c r="K14" s="9">
        <v>59.930689186969524</v>
      </c>
      <c r="L14" s="9">
        <v>0.82326961097486828</v>
      </c>
      <c r="M14" s="1"/>
      <c r="N14" s="4"/>
      <c r="Q14" s="4"/>
      <c r="T14" s="4"/>
      <c r="W14" s="4"/>
      <c r="Z14" s="7"/>
    </row>
    <row r="15" spans="1:26" x14ac:dyDescent="0.25">
      <c r="A15" s="3" t="s">
        <v>11</v>
      </c>
      <c r="B15" s="3">
        <v>10</v>
      </c>
      <c r="C15" s="9">
        <v>14.960210945658536</v>
      </c>
      <c r="D15" s="9">
        <v>0.33100892317005609</v>
      </c>
      <c r="E15" s="9">
        <v>3.1382888319975244</v>
      </c>
      <c r="F15" s="9">
        <v>3.93537389293852E-2</v>
      </c>
      <c r="G15" s="9">
        <v>3.197361099238897</v>
      </c>
      <c r="H15" s="9">
        <v>0.1507983079949651</v>
      </c>
      <c r="I15" s="9">
        <v>16.076560843348741</v>
      </c>
      <c r="J15" s="9">
        <v>6.9115372088129748E-2</v>
      </c>
      <c r="K15" s="9">
        <v>62.627578279756307</v>
      </c>
      <c r="L15" s="9">
        <v>0.43687221705300955</v>
      </c>
      <c r="N15" s="4"/>
      <c r="Q15" s="4"/>
      <c r="T15" s="4"/>
      <c r="W15" s="4"/>
      <c r="Z15" s="7"/>
    </row>
    <row r="16" spans="1:26" x14ac:dyDescent="0.25"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26" x14ac:dyDescent="0.25">
      <c r="N17" s="4"/>
      <c r="Q17" s="4"/>
      <c r="T17" s="4"/>
      <c r="W17" s="4"/>
      <c r="Z17" s="7"/>
    </row>
    <row r="18" spans="1:26" x14ac:dyDescent="0.25">
      <c r="A18" s="3"/>
      <c r="B18" s="3"/>
      <c r="C18" s="9"/>
      <c r="D18" s="9"/>
      <c r="E18" s="9"/>
      <c r="F18" s="9"/>
      <c r="G18" s="9"/>
      <c r="H18" s="9"/>
      <c r="I18" s="9"/>
      <c r="J18" s="9"/>
      <c r="K18" s="9"/>
      <c r="L18" s="9"/>
      <c r="N18" s="4"/>
      <c r="Q18" s="4"/>
      <c r="T18" s="4"/>
      <c r="W18" s="4"/>
      <c r="Z18" s="7"/>
    </row>
    <row r="19" spans="1:26" x14ac:dyDescent="0.25">
      <c r="A19" s="3"/>
      <c r="B19" s="3"/>
      <c r="C19" s="9"/>
      <c r="D19" s="9"/>
      <c r="E19" s="9"/>
      <c r="F19" s="9"/>
      <c r="G19" s="9"/>
      <c r="H19" s="9"/>
      <c r="I19" s="9"/>
      <c r="J19" s="9"/>
      <c r="K19" s="9"/>
      <c r="L19" s="9"/>
      <c r="N19" s="4"/>
      <c r="Q19" s="4"/>
      <c r="T19" s="4"/>
      <c r="W19" s="4"/>
      <c r="Z19" s="7"/>
    </row>
    <row r="20" spans="1:26" x14ac:dyDescent="0.25"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26" x14ac:dyDescent="0.25">
      <c r="N21" s="4"/>
      <c r="Q21" s="4"/>
      <c r="T21" s="4"/>
      <c r="W21" s="4"/>
      <c r="Z21" s="7"/>
    </row>
    <row r="22" spans="1:26" x14ac:dyDescent="0.25">
      <c r="A22" s="3"/>
      <c r="B22" s="3"/>
      <c r="C22" s="9"/>
      <c r="D22" s="9"/>
      <c r="E22" s="9"/>
      <c r="F22" s="9"/>
      <c r="G22" s="9"/>
      <c r="H22" s="9"/>
      <c r="I22" s="9"/>
      <c r="J22" s="9"/>
      <c r="K22" s="9"/>
      <c r="L22" s="9"/>
      <c r="N22" s="4"/>
      <c r="Q22" s="4"/>
      <c r="T22" s="4"/>
      <c r="W22" s="4"/>
      <c r="Z22" s="7"/>
    </row>
    <row r="23" spans="1:26" x14ac:dyDescent="0.25">
      <c r="A23" s="3"/>
      <c r="B23" s="3"/>
      <c r="C23" s="9"/>
      <c r="D23" s="9"/>
      <c r="E23" s="9"/>
      <c r="F23" s="9"/>
      <c r="G23" s="9"/>
      <c r="H23" s="9"/>
      <c r="I23" s="9"/>
      <c r="J23" s="9"/>
      <c r="K23" s="9"/>
      <c r="L23" s="9"/>
      <c r="N23" s="4"/>
      <c r="Q23" s="4"/>
      <c r="T23" s="4"/>
      <c r="W23" s="4"/>
      <c r="Z23" s="7"/>
    </row>
    <row r="24" spans="1:26" x14ac:dyDescent="0.25"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26" x14ac:dyDescent="0.25">
      <c r="N25" s="4"/>
      <c r="Q25" s="4"/>
      <c r="T25" s="4"/>
      <c r="W25" s="4"/>
      <c r="Z25" s="7"/>
    </row>
    <row r="26" spans="1:26" x14ac:dyDescent="0.25">
      <c r="A26" s="3"/>
      <c r="B26" s="3"/>
      <c r="C26" s="9"/>
      <c r="D26" s="9"/>
      <c r="E26" s="9"/>
      <c r="F26" s="9"/>
      <c r="G26" s="9"/>
      <c r="H26" s="9"/>
      <c r="I26" s="9"/>
      <c r="J26" s="9"/>
      <c r="K26" s="9"/>
      <c r="L26" s="9"/>
      <c r="N26" s="4"/>
      <c r="Q26" s="4"/>
      <c r="T26" s="4"/>
      <c r="W26" s="4"/>
      <c r="Z26" s="7"/>
    </row>
    <row r="27" spans="1:26" x14ac:dyDescent="0.25">
      <c r="A27" s="3"/>
      <c r="B27" s="3"/>
      <c r="C27" s="9"/>
      <c r="D27" s="9"/>
      <c r="E27" s="9"/>
      <c r="F27" s="9"/>
      <c r="G27" s="9"/>
      <c r="H27" s="9"/>
      <c r="I27" s="9"/>
      <c r="J27" s="9"/>
      <c r="K27" s="9"/>
      <c r="L27" s="9"/>
      <c r="N27" s="4"/>
      <c r="Q27" s="4"/>
      <c r="T27" s="4"/>
      <c r="W27" s="4"/>
      <c r="Z27" s="7"/>
    </row>
    <row r="28" spans="1:26" x14ac:dyDescent="0.25"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26" x14ac:dyDescent="0.25">
      <c r="N29" s="4"/>
      <c r="Q29" s="4"/>
      <c r="T29" s="4"/>
      <c r="W29" s="4"/>
      <c r="Z29" s="7"/>
    </row>
    <row r="30" spans="1:26" x14ac:dyDescent="0.25">
      <c r="A30" s="3"/>
      <c r="B30" s="3"/>
      <c r="C30" s="9"/>
      <c r="D30" s="9"/>
      <c r="E30" s="9"/>
      <c r="F30" s="9"/>
      <c r="G30" s="9"/>
      <c r="H30" s="9"/>
      <c r="I30" s="9"/>
      <c r="J30" s="9"/>
      <c r="K30" s="9"/>
      <c r="L30" s="9"/>
      <c r="N30" s="4"/>
      <c r="Q30" s="4"/>
      <c r="T30" s="4"/>
      <c r="W30" s="4"/>
      <c r="Z30" s="7"/>
    </row>
    <row r="31" spans="1:26" x14ac:dyDescent="0.25">
      <c r="A31" s="3"/>
      <c r="B31" s="3"/>
      <c r="C31" s="9"/>
      <c r="D31" s="9"/>
      <c r="E31" s="9"/>
      <c r="F31" s="9"/>
      <c r="G31" s="9"/>
      <c r="H31" s="9"/>
      <c r="I31" s="9"/>
      <c r="J31" s="9"/>
      <c r="K31" s="9"/>
      <c r="L31" s="9"/>
      <c r="N31" s="4"/>
      <c r="Q31" s="4"/>
      <c r="T31" s="4"/>
      <c r="W31" s="4"/>
      <c r="Z31" s="7"/>
    </row>
    <row r="32" spans="1:26" x14ac:dyDescent="0.25"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26" x14ac:dyDescent="0.25">
      <c r="N33" s="4"/>
      <c r="Q33" s="4"/>
      <c r="T33" s="4"/>
      <c r="W33" s="4"/>
      <c r="Z33" s="7"/>
    </row>
    <row r="34" spans="1:26" x14ac:dyDescent="0.25">
      <c r="A34" s="3"/>
      <c r="B34" s="3"/>
      <c r="C34" s="9"/>
      <c r="D34" s="9"/>
      <c r="E34" s="9"/>
      <c r="F34" s="9"/>
      <c r="G34" s="9"/>
      <c r="H34" s="9"/>
      <c r="I34" s="9"/>
      <c r="J34" s="9"/>
      <c r="K34" s="9"/>
      <c r="L34" s="9"/>
      <c r="N34" s="4"/>
      <c r="Q34" s="4"/>
      <c r="T34" s="4"/>
      <c r="W34" s="4"/>
      <c r="Z34" s="7"/>
    </row>
    <row r="35" spans="1:26" x14ac:dyDescent="0.25">
      <c r="A35" s="3"/>
      <c r="B35" s="3"/>
      <c r="C35" s="9"/>
      <c r="D35" s="9"/>
      <c r="E35" s="9"/>
      <c r="F35" s="9"/>
      <c r="G35" s="9"/>
      <c r="H35" s="9"/>
      <c r="I35" s="9"/>
      <c r="J35" s="9"/>
      <c r="K35" s="9"/>
      <c r="L35" s="9"/>
      <c r="N35" s="4"/>
      <c r="Q35" s="4"/>
      <c r="T35" s="4"/>
      <c r="W35" s="4"/>
      <c r="Z35" s="7"/>
    </row>
    <row r="36" spans="1:26" x14ac:dyDescent="0.25"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26" x14ac:dyDescent="0.25">
      <c r="N37" s="4"/>
      <c r="Q37" s="4"/>
      <c r="T37" s="4"/>
      <c r="W37" s="4"/>
      <c r="Z37" s="7"/>
    </row>
    <row r="38" spans="1:26" x14ac:dyDescent="0.25">
      <c r="A38" s="3"/>
      <c r="B38" s="3"/>
      <c r="C38" s="9"/>
      <c r="D38" s="9"/>
      <c r="E38" s="9"/>
      <c r="F38" s="9"/>
      <c r="G38" s="9"/>
      <c r="H38" s="9"/>
      <c r="I38" s="9"/>
      <c r="J38" s="9"/>
      <c r="K38" s="9"/>
      <c r="L38" s="9"/>
      <c r="N38" s="4"/>
      <c r="Q38" s="4"/>
      <c r="T38" s="4"/>
      <c r="W38" s="4"/>
      <c r="Z38" s="7"/>
    </row>
    <row r="39" spans="1:26" x14ac:dyDescent="0.25">
      <c r="A39" s="3"/>
      <c r="B39" s="3"/>
      <c r="C39" s="9"/>
      <c r="D39" s="9"/>
      <c r="E39" s="9"/>
      <c r="F39" s="9"/>
      <c r="G39" s="9"/>
      <c r="H39" s="9"/>
      <c r="I39" s="9"/>
      <c r="J39" s="9"/>
      <c r="K39" s="9"/>
      <c r="L39" s="9"/>
      <c r="N39" s="4"/>
      <c r="Q39" s="4"/>
      <c r="T39" s="4"/>
      <c r="W39" s="4"/>
      <c r="Z39" s="7"/>
    </row>
    <row r="40" spans="1:26" x14ac:dyDescent="0.25"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26" x14ac:dyDescent="0.25">
      <c r="N41" s="4"/>
      <c r="Q41" s="4"/>
      <c r="T41" s="4"/>
      <c r="W41" s="4"/>
      <c r="Z41" s="7"/>
    </row>
    <row r="42" spans="1:26" x14ac:dyDescent="0.25">
      <c r="A42" s="3"/>
      <c r="B42" s="3"/>
      <c r="C42" s="9"/>
      <c r="D42" s="9"/>
      <c r="E42" s="9"/>
      <c r="F42" s="9"/>
      <c r="G42" s="9"/>
      <c r="H42" s="9"/>
      <c r="I42" s="9"/>
      <c r="J42" s="9"/>
      <c r="K42" s="9"/>
      <c r="L42" s="9"/>
      <c r="N42" s="4"/>
      <c r="Q42" s="4"/>
      <c r="T42" s="4"/>
      <c r="W42" s="4"/>
      <c r="Z42" s="7"/>
    </row>
    <row r="43" spans="1:26" x14ac:dyDescent="0.25">
      <c r="A43" s="3"/>
      <c r="B43" s="3"/>
      <c r="C43" s="9"/>
      <c r="D43" s="9"/>
      <c r="E43" s="9"/>
      <c r="F43" s="9"/>
      <c r="G43" s="9"/>
      <c r="H43" s="9"/>
      <c r="I43" s="9"/>
      <c r="J43" s="9"/>
      <c r="K43" s="9"/>
      <c r="L43" s="9"/>
      <c r="N43" s="4"/>
      <c r="Q43" s="4"/>
      <c r="T43" s="4"/>
      <c r="W43" s="4"/>
      <c r="Z43" s="7"/>
    </row>
    <row r="44" spans="1:26" x14ac:dyDescent="0.25"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26" x14ac:dyDescent="0.25">
      <c r="N45" s="4"/>
      <c r="Q45" s="4"/>
      <c r="T45" s="4"/>
      <c r="W45" s="4"/>
      <c r="Z45" s="7"/>
    </row>
    <row r="46" spans="1:26" x14ac:dyDescent="0.25">
      <c r="A46" s="3"/>
      <c r="B46" s="3"/>
      <c r="C46" s="9"/>
      <c r="D46" s="9"/>
      <c r="E46" s="9"/>
      <c r="F46" s="9"/>
      <c r="G46" s="9"/>
      <c r="H46" s="9"/>
      <c r="I46" s="9"/>
      <c r="J46" s="9"/>
      <c r="K46" s="9"/>
      <c r="L46" s="9"/>
      <c r="N46" s="4"/>
      <c r="Q46" s="4"/>
      <c r="T46" s="4"/>
      <c r="W46" s="4"/>
      <c r="Z46" s="7"/>
    </row>
    <row r="47" spans="1:26" x14ac:dyDescent="0.25">
      <c r="A47" s="3"/>
      <c r="B47" s="3"/>
      <c r="C47" s="9"/>
      <c r="D47" s="9"/>
      <c r="E47" s="9"/>
      <c r="F47" s="9"/>
      <c r="G47" s="9"/>
      <c r="H47" s="9"/>
      <c r="I47" s="9"/>
      <c r="J47" s="9"/>
      <c r="K47" s="9"/>
      <c r="L47" s="9"/>
      <c r="N47" s="4"/>
      <c r="Q47" s="4"/>
      <c r="T47" s="4"/>
      <c r="W47" s="4"/>
      <c r="Z47" s="7"/>
    </row>
    <row r="48" spans="1:26" x14ac:dyDescent="0.25">
      <c r="C48" s="9"/>
      <c r="D48" s="9"/>
      <c r="E48" s="9"/>
      <c r="F48" s="9"/>
      <c r="G48" s="9"/>
      <c r="H48" s="9"/>
      <c r="I48" s="9"/>
      <c r="J48" s="9"/>
      <c r="K48" s="9"/>
      <c r="L48" s="9"/>
    </row>
  </sheetData>
  <mergeCells count="5">
    <mergeCell ref="C3:D3"/>
    <mergeCell ref="E3:F3"/>
    <mergeCell ref="G3:H3"/>
    <mergeCell ref="I3:J3"/>
    <mergeCell ref="K3:L3"/>
  </mergeCells>
  <phoneticPr fontId="1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4E4FD-9ECD-4FA7-AD18-37619331039E}">
  <dimension ref="A1:AF52"/>
  <sheetViews>
    <sheetView zoomScale="80" zoomScaleNormal="80" workbookViewId="0">
      <selection activeCell="Q15" sqref="Q15"/>
    </sheetView>
  </sheetViews>
  <sheetFormatPr baseColWidth="10" defaultColWidth="11.42578125" defaultRowHeight="15" x14ac:dyDescent="0.25"/>
  <cols>
    <col min="1" max="1" width="21.5703125" customWidth="1"/>
    <col min="2" max="2" width="16.28515625" customWidth="1"/>
    <col min="3" max="3" width="14.5703125" customWidth="1"/>
    <col min="4" max="4" width="13.7109375" customWidth="1"/>
    <col min="5" max="5" width="13.5703125" customWidth="1"/>
    <col min="6" max="6" width="13.7109375" customWidth="1"/>
    <col min="7" max="7" width="15" customWidth="1"/>
    <col min="8" max="8" width="15.28515625" customWidth="1"/>
  </cols>
  <sheetData>
    <row r="1" spans="1:32" ht="15.75" x14ac:dyDescent="0.25">
      <c r="A1" s="2" t="s">
        <v>38</v>
      </c>
    </row>
    <row r="3" spans="1:32" x14ac:dyDescent="0.25">
      <c r="A3" s="13" t="s">
        <v>18</v>
      </c>
      <c r="B3" s="13" t="s">
        <v>0</v>
      </c>
      <c r="C3" s="15" t="s">
        <v>29</v>
      </c>
      <c r="D3" s="15"/>
      <c r="E3" s="15" t="s">
        <v>30</v>
      </c>
      <c r="F3" s="15"/>
      <c r="G3" s="15" t="s">
        <v>31</v>
      </c>
      <c r="H3" s="15"/>
      <c r="I3" s="15" t="s">
        <v>32</v>
      </c>
      <c r="J3" s="15"/>
      <c r="K3" s="15" t="s">
        <v>28</v>
      </c>
      <c r="L3" s="15"/>
    </row>
    <row r="4" spans="1:32" x14ac:dyDescent="0.25">
      <c r="C4" s="13" t="s">
        <v>34</v>
      </c>
      <c r="D4" s="13" t="s">
        <v>35</v>
      </c>
      <c r="E4" s="13" t="s">
        <v>34</v>
      </c>
      <c r="F4" s="13" t="s">
        <v>35</v>
      </c>
      <c r="G4" s="13" t="s">
        <v>34</v>
      </c>
      <c r="H4" s="13" t="s">
        <v>35</v>
      </c>
      <c r="I4" s="13" t="s">
        <v>34</v>
      </c>
      <c r="J4" s="13" t="s">
        <v>35</v>
      </c>
      <c r="K4" s="13" t="s">
        <v>34</v>
      </c>
      <c r="L4" s="13" t="s">
        <v>35</v>
      </c>
    </row>
    <row r="5" spans="1:32" x14ac:dyDescent="0.25">
      <c r="A5" s="8" t="s">
        <v>1</v>
      </c>
      <c r="B5" s="8">
        <v>0</v>
      </c>
      <c r="C5" s="9">
        <v>14.567601466918289</v>
      </c>
      <c r="D5" s="9">
        <v>0.33906996252867083</v>
      </c>
      <c r="E5" s="9">
        <v>2.8470480933175835</v>
      </c>
      <c r="F5" s="9">
        <v>6.5187425278102354E-2</v>
      </c>
      <c r="G5" s="9">
        <v>2.4154389118111905</v>
      </c>
      <c r="H5" s="9">
        <v>0.17852236612128386</v>
      </c>
      <c r="I5" s="9">
        <v>3.1389100620448218</v>
      </c>
      <c r="J5" s="9">
        <v>7.9687384239364167E-2</v>
      </c>
      <c r="K5" s="9">
        <v>77.031001465908119</v>
      </c>
      <c r="L5" s="9">
        <v>0.44106245048539272</v>
      </c>
    </row>
    <row r="6" spans="1:32" x14ac:dyDescent="0.25">
      <c r="A6" s="8" t="s">
        <v>2</v>
      </c>
      <c r="B6" s="8">
        <v>1</v>
      </c>
      <c r="C6" s="9">
        <v>12.911599935501046</v>
      </c>
      <c r="D6" s="9">
        <v>0.18651161029155525</v>
      </c>
      <c r="E6" s="9">
        <v>2.4773066004253903</v>
      </c>
      <c r="F6" s="9">
        <v>0.10457292781008963</v>
      </c>
      <c r="G6" s="9">
        <v>3.8137070762577578</v>
      </c>
      <c r="H6" s="9">
        <v>0.15137718871719116</v>
      </c>
      <c r="I6" s="9">
        <v>2.7174411146746098</v>
      </c>
      <c r="J6" s="9">
        <v>0.22872885775625615</v>
      </c>
      <c r="K6" s="9">
        <v>78.079945273141192</v>
      </c>
      <c r="L6" s="9">
        <v>0.44088328427576762</v>
      </c>
    </row>
    <row r="7" spans="1:32" x14ac:dyDescent="0.25">
      <c r="A7" s="8" t="s">
        <v>3</v>
      </c>
      <c r="B7" s="8">
        <v>2</v>
      </c>
      <c r="C7" s="9">
        <v>11.924123246829746</v>
      </c>
      <c r="D7" s="9">
        <v>0.19353356212514738</v>
      </c>
      <c r="E7" s="9">
        <v>2.7462504293267767</v>
      </c>
      <c r="F7" s="9">
        <v>4.8976390944333918E-2</v>
      </c>
      <c r="G7" s="9">
        <v>5.0370899828461928</v>
      </c>
      <c r="H7" s="9">
        <v>8.1674656809209933E-2</v>
      </c>
      <c r="I7" s="9">
        <v>3.4822581363481775</v>
      </c>
      <c r="J7" s="9">
        <v>0.26151532270186884</v>
      </c>
      <c r="K7" s="9">
        <v>76.810278204649109</v>
      </c>
      <c r="L7" s="9">
        <v>3.8437041930304797E-2</v>
      </c>
    </row>
    <row r="8" spans="1:32" x14ac:dyDescent="0.25">
      <c r="A8" s="8" t="s">
        <v>4</v>
      </c>
      <c r="B8" s="8">
        <v>3</v>
      </c>
      <c r="C8" s="9">
        <v>10.490726714099109</v>
      </c>
      <c r="D8" s="9">
        <v>0.10668408454448247</v>
      </c>
      <c r="E8" s="9">
        <v>2.6211503194283647</v>
      </c>
      <c r="F8" s="9">
        <v>0.14910195628900139</v>
      </c>
      <c r="G8" s="9">
        <v>6.5624159102662922</v>
      </c>
      <c r="H8" s="9">
        <v>0.15945985447230479</v>
      </c>
      <c r="I8" s="9">
        <v>4.5109543019237321</v>
      </c>
      <c r="J8" s="9">
        <v>0.14919109184229323</v>
      </c>
      <c r="K8" s="9">
        <v>75.814752754282509</v>
      </c>
      <c r="L8" s="9">
        <v>0.10809334164731511</v>
      </c>
    </row>
    <row r="9" spans="1:32" x14ac:dyDescent="0.25">
      <c r="A9" s="8" t="s">
        <v>5</v>
      </c>
      <c r="B9" s="8">
        <v>4</v>
      </c>
      <c r="C9" s="9">
        <v>14.000435520044528</v>
      </c>
      <c r="D9" s="9">
        <v>0.19816943268451062</v>
      </c>
      <c r="E9" s="9">
        <v>6.4037115551679298</v>
      </c>
      <c r="F9" s="9">
        <v>0.1558387073775635</v>
      </c>
      <c r="G9" s="9">
        <v>7.6821359025571923</v>
      </c>
      <c r="H9" s="9">
        <v>0.18211188143382576</v>
      </c>
      <c r="I9" s="9">
        <v>6.6072633141584278</v>
      </c>
      <c r="J9" s="9">
        <v>9.7418910079102916E-2</v>
      </c>
      <c r="K9" s="9">
        <v>65.306453708071913</v>
      </c>
      <c r="L9" s="9">
        <v>0.44948054631571455</v>
      </c>
    </row>
    <row r="10" spans="1:32" x14ac:dyDescent="0.25">
      <c r="A10" s="8" t="s">
        <v>6</v>
      </c>
      <c r="B10" s="8">
        <v>5</v>
      </c>
      <c r="C10" s="9">
        <v>13.371655848653822</v>
      </c>
      <c r="D10" s="9">
        <v>0.14580611475837912</v>
      </c>
      <c r="E10" s="9">
        <v>7.3650485574473104</v>
      </c>
      <c r="F10" s="9">
        <v>9.6535051613929793E-2</v>
      </c>
      <c r="G10" s="9">
        <v>12.0426274579943</v>
      </c>
      <c r="H10" s="9">
        <v>0.50245760264473338</v>
      </c>
      <c r="I10" s="9">
        <v>7.3491798705751874</v>
      </c>
      <c r="J10" s="9">
        <v>0.16141691216250995</v>
      </c>
      <c r="K10" s="9">
        <v>59.871488265329383</v>
      </c>
      <c r="L10" s="9">
        <v>0.56655677356977718</v>
      </c>
      <c r="Q10" s="8"/>
      <c r="R10" s="7"/>
      <c r="S10" s="9"/>
      <c r="T10" s="9"/>
      <c r="U10" s="7"/>
      <c r="V10" s="9"/>
      <c r="W10" s="9"/>
      <c r="X10" s="7"/>
      <c r="Y10" s="9"/>
      <c r="Z10" s="9"/>
      <c r="AA10" s="7"/>
      <c r="AB10" s="9"/>
      <c r="AC10" s="9"/>
      <c r="AD10" s="7"/>
      <c r="AE10" s="9"/>
      <c r="AF10" s="9"/>
    </row>
    <row r="11" spans="1:32" x14ac:dyDescent="0.25">
      <c r="A11" s="8" t="s">
        <v>7</v>
      </c>
      <c r="B11" s="8">
        <v>6</v>
      </c>
      <c r="C11" s="9">
        <v>13.198231100112396</v>
      </c>
      <c r="D11" s="9">
        <v>0.42941386376187479</v>
      </c>
      <c r="E11" s="9">
        <v>9.1274374862183834</v>
      </c>
      <c r="F11" s="9">
        <v>6.2981388965840698E-2</v>
      </c>
      <c r="G11" s="9">
        <v>12.565106575312123</v>
      </c>
      <c r="H11" s="9">
        <v>0.25963188440281143</v>
      </c>
      <c r="I11" s="9">
        <v>9.4050160519535471</v>
      </c>
      <c r="J11" s="9">
        <v>0.22053035612330954</v>
      </c>
      <c r="K11" s="9">
        <v>55.704208786403541</v>
      </c>
      <c r="L11" s="9">
        <v>0.60863081294165711</v>
      </c>
      <c r="Q11" s="8"/>
      <c r="R11" s="7"/>
      <c r="U11" s="7"/>
      <c r="X11" s="7"/>
      <c r="AA11" s="7"/>
      <c r="AD11" s="7"/>
    </row>
    <row r="12" spans="1:32" x14ac:dyDescent="0.25">
      <c r="A12" s="8" t="s">
        <v>8</v>
      </c>
      <c r="B12" s="8">
        <v>7</v>
      </c>
      <c r="C12" s="9">
        <v>13.624580916264671</v>
      </c>
      <c r="D12" s="9">
        <v>0.2370019323319747</v>
      </c>
      <c r="E12" s="9">
        <v>10.643031676665474</v>
      </c>
      <c r="F12" s="9">
        <v>0.11494175407915161</v>
      </c>
      <c r="G12" s="9">
        <v>15.076772212018474</v>
      </c>
      <c r="H12" s="9">
        <v>0.16415700307009251</v>
      </c>
      <c r="I12" s="9">
        <v>11.438657140056351</v>
      </c>
      <c r="J12" s="9">
        <v>9.8394392289391883E-2</v>
      </c>
      <c r="K12" s="9">
        <v>49.216958054995025</v>
      </c>
      <c r="L12" s="9">
        <v>0.27069356390363958</v>
      </c>
      <c r="Q12" s="8"/>
      <c r="R12" s="7"/>
      <c r="U12" s="7"/>
      <c r="X12" s="7"/>
      <c r="AA12" s="7"/>
      <c r="AD12" s="7"/>
    </row>
    <row r="13" spans="1:32" x14ac:dyDescent="0.25">
      <c r="A13" s="8" t="s">
        <v>9</v>
      </c>
      <c r="B13" s="8">
        <v>8</v>
      </c>
      <c r="C13" s="9">
        <v>13.348475514810232</v>
      </c>
      <c r="D13" s="9">
        <v>0.1323462387564848</v>
      </c>
      <c r="E13" s="9">
        <v>3.0508928590367801</v>
      </c>
      <c r="F13" s="9">
        <v>3.3465270250168475E-2</v>
      </c>
      <c r="G13" s="9">
        <v>3.0695304507899555</v>
      </c>
      <c r="H13" s="9">
        <v>5.242711936209403E-2</v>
      </c>
      <c r="I13" s="9">
        <v>4.5870887119669925</v>
      </c>
      <c r="J13" s="9">
        <v>0.12722016260607913</v>
      </c>
      <c r="K13" s="9">
        <v>75.944012463396049</v>
      </c>
      <c r="L13" s="9">
        <v>0.26440844080950465</v>
      </c>
    </row>
    <row r="14" spans="1:32" x14ac:dyDescent="0.25">
      <c r="A14" s="8" t="s">
        <v>10</v>
      </c>
      <c r="B14" s="8">
        <v>9</v>
      </c>
      <c r="C14" s="9">
        <v>12.378629282271184</v>
      </c>
      <c r="D14" s="9">
        <v>0.12891135655875782</v>
      </c>
      <c r="E14" s="9">
        <v>2.9842679086355388</v>
      </c>
      <c r="F14" s="9">
        <v>7.1586706641598996E-2</v>
      </c>
      <c r="G14" s="9">
        <v>2.9430678442017721</v>
      </c>
      <c r="H14" s="9">
        <v>0.13588288237585938</v>
      </c>
      <c r="I14" s="9">
        <v>5.8749065661513287</v>
      </c>
      <c r="J14" s="9">
        <v>0.13272677696929425</v>
      </c>
      <c r="K14" s="9">
        <v>75.819128398740176</v>
      </c>
      <c r="L14" s="9">
        <v>1.3106746889183802E-2</v>
      </c>
      <c r="Q14" s="8"/>
      <c r="R14" s="7"/>
      <c r="S14" s="9"/>
      <c r="T14" s="9"/>
      <c r="U14" s="7"/>
      <c r="V14" s="9"/>
      <c r="W14" s="9"/>
      <c r="X14" s="7"/>
      <c r="Y14" s="9"/>
      <c r="Z14" s="9"/>
      <c r="AA14" s="7"/>
      <c r="AB14" s="9"/>
      <c r="AC14" s="9"/>
      <c r="AD14" s="7"/>
      <c r="AE14" s="9"/>
      <c r="AF14" s="9"/>
    </row>
    <row r="15" spans="1:32" x14ac:dyDescent="0.25">
      <c r="A15" s="8" t="s">
        <v>11</v>
      </c>
      <c r="B15" s="8">
        <v>10</v>
      </c>
      <c r="C15" s="9">
        <v>11.234353513755332</v>
      </c>
      <c r="D15" s="9">
        <v>0.12687778819808443</v>
      </c>
      <c r="E15" s="9">
        <v>2.8406258372222575</v>
      </c>
      <c r="F15" s="9">
        <v>4.5646676549768714E-2</v>
      </c>
      <c r="G15" s="9">
        <v>2.852651813388301</v>
      </c>
      <c r="H15" s="9">
        <v>0.11493394257768662</v>
      </c>
      <c r="I15" s="9">
        <v>8.0013682661467307</v>
      </c>
      <c r="J15" s="9">
        <v>6.446206864985822E-2</v>
      </c>
      <c r="K15" s="9">
        <v>75.071000569487381</v>
      </c>
      <c r="L15" s="9">
        <v>0.19699233436536426</v>
      </c>
      <c r="Q15" s="8"/>
      <c r="R15" s="7"/>
      <c r="U15" s="7"/>
      <c r="X15" s="7"/>
      <c r="AA15" s="7"/>
      <c r="AD15" s="7"/>
    </row>
    <row r="16" spans="1:32" x14ac:dyDescent="0.25">
      <c r="Q16" s="8"/>
      <c r="R16" s="7"/>
      <c r="U16" s="7"/>
      <c r="X16" s="7"/>
      <c r="AA16" s="7"/>
      <c r="AD16" s="7"/>
    </row>
    <row r="17" spans="1:32" x14ac:dyDescent="0.25">
      <c r="A17" s="13" t="s">
        <v>18</v>
      </c>
      <c r="B17" s="13" t="s">
        <v>0</v>
      </c>
      <c r="C17" s="15" t="s">
        <v>29</v>
      </c>
      <c r="D17" s="15"/>
      <c r="E17" s="15" t="s">
        <v>30</v>
      </c>
      <c r="F17" s="15"/>
      <c r="G17" s="15" t="s">
        <v>31</v>
      </c>
      <c r="H17" s="15"/>
      <c r="I17" s="15" t="s">
        <v>32</v>
      </c>
      <c r="J17" s="15"/>
      <c r="K17" s="15" t="s">
        <v>28</v>
      </c>
      <c r="L17" s="15"/>
    </row>
    <row r="18" spans="1:32" x14ac:dyDescent="0.25">
      <c r="C18" s="13" t="s">
        <v>34</v>
      </c>
      <c r="D18" s="13" t="s">
        <v>35</v>
      </c>
      <c r="E18" s="13" t="s">
        <v>34</v>
      </c>
      <c r="F18" s="13" t="s">
        <v>35</v>
      </c>
      <c r="G18" s="13" t="s">
        <v>34</v>
      </c>
      <c r="H18" s="13" t="s">
        <v>35</v>
      </c>
      <c r="I18" s="13" t="s">
        <v>34</v>
      </c>
      <c r="J18" s="13" t="s">
        <v>35</v>
      </c>
      <c r="K18" s="13" t="s">
        <v>34</v>
      </c>
      <c r="L18" s="13" t="s">
        <v>35</v>
      </c>
      <c r="AC18" s="9"/>
      <c r="AD18" s="7"/>
      <c r="AE18" s="9"/>
      <c r="AF18" s="9"/>
    </row>
    <row r="19" spans="1:32" x14ac:dyDescent="0.25">
      <c r="A19" s="8" t="s">
        <v>1</v>
      </c>
      <c r="B19" s="8" t="s">
        <v>46</v>
      </c>
      <c r="C19" s="9">
        <v>12.755333333333333</v>
      </c>
      <c r="D19" s="9">
        <v>0.54851830719979877</v>
      </c>
      <c r="E19" s="9">
        <v>1.2466666666666668</v>
      </c>
      <c r="F19" s="9">
        <v>7.3711147958319997E-2</v>
      </c>
      <c r="G19" s="9"/>
      <c r="H19" s="9"/>
      <c r="I19" s="9">
        <v>1.5785999999999998</v>
      </c>
      <c r="J19" s="9">
        <v>1.5256801761837325E-2</v>
      </c>
      <c r="K19" s="9"/>
      <c r="AD19" s="7"/>
    </row>
    <row r="20" spans="1:32" x14ac:dyDescent="0.25">
      <c r="A20" s="8" t="s">
        <v>50</v>
      </c>
      <c r="B20" s="8" t="s">
        <v>47</v>
      </c>
      <c r="C20" s="9">
        <v>12.821983333333334</v>
      </c>
      <c r="D20" s="9">
        <v>0.48611447618455644</v>
      </c>
      <c r="E20" s="9">
        <v>2.785166666666667</v>
      </c>
      <c r="F20" s="9">
        <v>0.12373843437892508</v>
      </c>
      <c r="I20" s="9">
        <v>1.5444549999999997</v>
      </c>
      <c r="J20" s="9">
        <v>1.7135402806091167E-2</v>
      </c>
      <c r="K20" s="9"/>
      <c r="M20" s="20"/>
      <c r="N20" s="20"/>
      <c r="O20" s="20"/>
      <c r="P20" s="20"/>
      <c r="Q20" s="20"/>
      <c r="R20" s="20"/>
      <c r="S20" s="20"/>
      <c r="T20" s="20"/>
      <c r="U20" s="17"/>
      <c r="V20" s="17"/>
      <c r="W20" s="17"/>
      <c r="X20" s="17"/>
      <c r="Y20" s="17"/>
      <c r="Z20" s="17"/>
      <c r="AD20" s="7"/>
    </row>
    <row r="21" spans="1:32" x14ac:dyDescent="0.25">
      <c r="A21" s="8" t="s">
        <v>51</v>
      </c>
      <c r="B21" s="8" t="s">
        <v>48</v>
      </c>
      <c r="C21" s="9">
        <v>12.872783333333333</v>
      </c>
      <c r="D21" s="9">
        <v>0.48343918025044519</v>
      </c>
      <c r="E21" s="9">
        <v>2.7741666666666669</v>
      </c>
      <c r="F21" s="9">
        <v>7.9357768853061963E-2</v>
      </c>
      <c r="I21" s="9">
        <v>1.5516599999999998</v>
      </c>
      <c r="J21" s="9">
        <v>1.6317415714042161E-2</v>
      </c>
      <c r="K21" s="9"/>
      <c r="M21" s="20"/>
      <c r="N21" s="20"/>
      <c r="O21" s="22"/>
      <c r="P21" s="22"/>
      <c r="Q21" s="23"/>
      <c r="R21" s="22"/>
      <c r="S21" s="20"/>
      <c r="T21" s="24"/>
      <c r="U21" s="24"/>
      <c r="V21" s="24"/>
      <c r="W21" s="24"/>
      <c r="X21" s="24"/>
      <c r="Y21" s="24"/>
      <c r="Z21" s="24"/>
    </row>
    <row r="22" spans="1:32" x14ac:dyDescent="0.25">
      <c r="A22" s="8" t="s">
        <v>43</v>
      </c>
      <c r="B22" s="8" t="s">
        <v>49</v>
      </c>
      <c r="C22" s="9">
        <v>11.477033333333333</v>
      </c>
      <c r="D22" s="9">
        <v>0.48002207047112999</v>
      </c>
      <c r="E22" s="9">
        <v>2.8546666666666667</v>
      </c>
      <c r="F22" s="9">
        <v>8.2797712843055649E-2</v>
      </c>
      <c r="I22" s="9">
        <v>1.5713099999999998</v>
      </c>
      <c r="J22" s="9">
        <v>1.9178770608734869E-2</v>
      </c>
      <c r="K22" s="9"/>
      <c r="M22" s="20"/>
      <c r="N22" s="20"/>
      <c r="O22" s="22"/>
      <c r="P22" s="22"/>
      <c r="Q22" s="23"/>
      <c r="R22" s="22"/>
      <c r="S22" s="20"/>
      <c r="T22" s="20"/>
      <c r="U22" s="20"/>
      <c r="V22" s="25"/>
      <c r="W22" s="20"/>
      <c r="X22" s="20"/>
      <c r="Y22" s="25"/>
      <c r="Z22" s="20"/>
      <c r="AC22" s="9"/>
      <c r="AD22" s="7"/>
      <c r="AE22" s="9"/>
      <c r="AF22" s="9"/>
    </row>
    <row r="23" spans="1:32" x14ac:dyDescent="0.25">
      <c r="A23" s="8" t="s">
        <v>44</v>
      </c>
      <c r="B23" s="8" t="s">
        <v>52</v>
      </c>
      <c r="C23" s="9">
        <v>10.198733333333331</v>
      </c>
      <c r="D23" s="9">
        <v>0.41152583374246132</v>
      </c>
      <c r="E23" s="9">
        <v>4.4626666666666663</v>
      </c>
      <c r="F23" s="9">
        <v>9.1884277727791314E-2</v>
      </c>
      <c r="I23" s="9">
        <v>1.5640199999999997</v>
      </c>
      <c r="J23" s="9">
        <v>2.3100739455632416E-2</v>
      </c>
      <c r="K23" s="9"/>
      <c r="M23" s="20"/>
      <c r="N23" s="20"/>
      <c r="O23" s="22"/>
      <c r="P23" s="22"/>
      <c r="Q23" s="23"/>
      <c r="R23" s="22"/>
      <c r="S23" s="20"/>
      <c r="T23" s="20"/>
      <c r="U23" s="20"/>
      <c r="V23" s="25"/>
      <c r="W23" s="20"/>
      <c r="X23" s="20"/>
      <c r="Y23" s="25"/>
      <c r="Z23" s="20"/>
      <c r="AD23" s="7"/>
    </row>
    <row r="24" spans="1:32" x14ac:dyDescent="0.25">
      <c r="A24" s="8" t="s">
        <v>45</v>
      </c>
      <c r="B24" s="8" t="s">
        <v>53</v>
      </c>
      <c r="C24" s="9">
        <v>8.4943333333333335</v>
      </c>
      <c r="D24" s="9">
        <v>0.32019751810423636</v>
      </c>
      <c r="E24" s="9">
        <v>6.6066666666666665</v>
      </c>
      <c r="F24" s="9">
        <v>0.10399969757410552</v>
      </c>
      <c r="I24" s="9">
        <v>1.5543</v>
      </c>
      <c r="J24" s="9">
        <v>2.8330031251495809E-2</v>
      </c>
      <c r="K24" s="9"/>
      <c r="M24" s="20"/>
      <c r="N24" s="20"/>
      <c r="O24" s="22"/>
      <c r="P24" s="22"/>
      <c r="Q24" s="23"/>
      <c r="R24" s="22"/>
      <c r="S24" s="20"/>
      <c r="T24" s="20"/>
      <c r="U24" s="24"/>
      <c r="V24" s="24"/>
      <c r="W24" s="24"/>
      <c r="X24" s="24"/>
      <c r="Y24" s="24"/>
      <c r="Z24" s="24"/>
      <c r="AD24" s="7"/>
    </row>
    <row r="25" spans="1:32" x14ac:dyDescent="0.25">
      <c r="K25" s="9"/>
      <c r="M25" s="20"/>
      <c r="N25" s="20"/>
      <c r="O25" s="22"/>
      <c r="P25" s="22"/>
      <c r="Q25" s="23"/>
      <c r="R25" s="22"/>
      <c r="S25" s="20"/>
      <c r="T25" s="24"/>
      <c r="U25" s="24"/>
      <c r="V25" s="25"/>
      <c r="W25" s="24"/>
      <c r="X25" s="24"/>
      <c r="Y25" s="25"/>
      <c r="Z25" s="24"/>
    </row>
    <row r="26" spans="1:32" x14ac:dyDescent="0.25">
      <c r="K26" s="9"/>
      <c r="M26" s="20"/>
      <c r="N26" s="20"/>
      <c r="O26" s="22"/>
      <c r="P26" s="22"/>
      <c r="Q26" s="23"/>
      <c r="R26" s="22"/>
      <c r="S26" s="20"/>
      <c r="T26" s="20"/>
      <c r="U26" s="20"/>
      <c r="V26" s="25"/>
      <c r="W26" s="20"/>
      <c r="X26" s="20"/>
      <c r="Y26" s="25"/>
      <c r="Z26" s="20"/>
      <c r="AC26" s="9"/>
      <c r="AD26" s="7"/>
      <c r="AE26" s="9"/>
      <c r="AF26" s="9"/>
    </row>
    <row r="27" spans="1:32" x14ac:dyDescent="0.25">
      <c r="K27" s="9"/>
      <c r="M27" s="20"/>
      <c r="N27" s="20"/>
      <c r="O27" s="22"/>
      <c r="P27" s="22"/>
      <c r="Q27" s="23"/>
      <c r="R27" s="22"/>
      <c r="S27" s="20"/>
      <c r="T27" s="20"/>
      <c r="U27" s="24"/>
      <c r="V27" s="24"/>
      <c r="W27" s="24"/>
      <c r="X27" s="24"/>
      <c r="Y27" s="24"/>
      <c r="Z27" s="24"/>
      <c r="AD27" s="7"/>
    </row>
    <row r="28" spans="1:32" x14ac:dyDescent="0.25">
      <c r="K28" s="9"/>
      <c r="M28" s="20"/>
      <c r="N28" s="20"/>
      <c r="O28" s="22"/>
      <c r="P28" s="22"/>
      <c r="Q28" s="23"/>
      <c r="R28" s="22"/>
      <c r="S28" s="20"/>
      <c r="T28" s="20"/>
      <c r="U28" s="20"/>
      <c r="V28" s="20"/>
      <c r="W28" s="20"/>
      <c r="X28" s="20"/>
      <c r="Y28" s="20"/>
      <c r="Z28" s="20"/>
      <c r="AD28" s="7"/>
    </row>
    <row r="29" spans="1:32" x14ac:dyDescent="0.25">
      <c r="K29" s="9"/>
      <c r="M29" s="20"/>
      <c r="N29" s="20"/>
      <c r="O29" s="22"/>
      <c r="P29" s="22"/>
      <c r="Q29" s="23"/>
      <c r="R29" s="22"/>
      <c r="S29" s="20"/>
      <c r="T29" s="24"/>
      <c r="U29" s="24"/>
      <c r="V29" s="25"/>
      <c r="W29" s="24"/>
      <c r="X29" s="24"/>
      <c r="Y29" s="25"/>
      <c r="Z29" s="24"/>
    </row>
    <row r="30" spans="1:32" x14ac:dyDescent="0.25">
      <c r="K30" s="9"/>
      <c r="M30" s="20"/>
      <c r="N30" s="20"/>
      <c r="O30" s="22"/>
      <c r="P30" s="22"/>
      <c r="Q30" s="23"/>
      <c r="R30" s="22"/>
      <c r="S30" s="20"/>
      <c r="T30" s="20"/>
      <c r="U30" s="24"/>
      <c r="V30" s="24"/>
      <c r="W30" s="24"/>
      <c r="X30" s="24"/>
      <c r="Y30" s="24"/>
      <c r="Z30" s="24"/>
      <c r="AA30" s="7"/>
      <c r="AB30" s="9"/>
      <c r="AC30" s="9"/>
      <c r="AD30" s="7"/>
      <c r="AE30" s="9"/>
      <c r="AF30" s="9"/>
    </row>
    <row r="31" spans="1:32" x14ac:dyDescent="0.25">
      <c r="K31" s="9"/>
      <c r="M31" s="20"/>
      <c r="N31" s="20"/>
      <c r="O31" s="22"/>
      <c r="P31" s="22"/>
      <c r="Q31" s="23"/>
      <c r="R31" s="22"/>
      <c r="S31" s="20"/>
      <c r="T31" s="20"/>
      <c r="U31" s="20"/>
      <c r="V31" s="25"/>
      <c r="W31" s="20"/>
      <c r="X31" s="20"/>
      <c r="Y31" s="25"/>
      <c r="Z31" s="20"/>
      <c r="AA31" s="7"/>
      <c r="AD31" s="7"/>
    </row>
    <row r="32" spans="1:32" x14ac:dyDescent="0.25">
      <c r="E32" s="9"/>
      <c r="F32" s="9"/>
      <c r="G32" s="9"/>
      <c r="H32" s="9"/>
      <c r="I32" s="9"/>
      <c r="J32" s="9"/>
      <c r="K32" s="9"/>
      <c r="M32" s="20"/>
      <c r="N32" s="20"/>
      <c r="O32" s="22"/>
      <c r="P32" s="22"/>
      <c r="Q32" s="23"/>
      <c r="R32" s="22"/>
      <c r="S32" s="20"/>
      <c r="T32" s="20"/>
      <c r="U32" s="20"/>
      <c r="V32" s="20"/>
      <c r="W32" s="20"/>
      <c r="X32" s="20"/>
      <c r="Y32" s="20"/>
      <c r="Z32" s="20"/>
      <c r="AA32" s="7"/>
      <c r="AD32" s="7"/>
    </row>
    <row r="33" spans="1:32" x14ac:dyDescent="0.25">
      <c r="E33" s="9"/>
      <c r="F33" s="9"/>
      <c r="G33" s="9"/>
      <c r="H33" s="9"/>
      <c r="I33" s="9"/>
      <c r="J33" s="9"/>
      <c r="K33" s="9"/>
    </row>
    <row r="34" spans="1:32" x14ac:dyDescent="0.25">
      <c r="A34" s="8"/>
      <c r="B34" s="8"/>
      <c r="C34" s="9"/>
      <c r="D34" s="9"/>
      <c r="E34" s="9"/>
      <c r="F34" s="9"/>
      <c r="G34" s="9"/>
      <c r="H34" s="9"/>
      <c r="I34" s="9"/>
      <c r="J34" s="9"/>
      <c r="K34" s="9"/>
      <c r="Q34" s="8"/>
      <c r="R34" s="7"/>
      <c r="S34" s="9"/>
      <c r="T34" s="9"/>
      <c r="U34" s="7"/>
      <c r="V34" s="9"/>
      <c r="W34" s="9"/>
      <c r="X34" s="7"/>
      <c r="Y34" s="9"/>
      <c r="Z34" s="9"/>
      <c r="AA34" s="7"/>
      <c r="AB34" s="9"/>
      <c r="AC34" s="9"/>
      <c r="AD34" s="7"/>
      <c r="AE34" s="9"/>
      <c r="AF34" s="9"/>
    </row>
    <row r="35" spans="1:32" x14ac:dyDescent="0.25">
      <c r="A35" s="8"/>
      <c r="B35" s="8"/>
      <c r="C35" s="9"/>
      <c r="D35" s="9"/>
      <c r="E35" s="9"/>
      <c r="F35" s="9"/>
      <c r="I35" s="9"/>
      <c r="J35" s="9"/>
      <c r="K35" s="9"/>
      <c r="Q35" s="8"/>
      <c r="R35" s="7"/>
      <c r="U35" s="7"/>
      <c r="X35" s="7"/>
      <c r="AA35" s="7"/>
      <c r="AD35" s="7"/>
    </row>
    <row r="36" spans="1:32" x14ac:dyDescent="0.25">
      <c r="A36" s="8"/>
      <c r="B36" s="8"/>
      <c r="C36" s="9"/>
      <c r="D36" s="9"/>
      <c r="E36" s="9"/>
      <c r="F36" s="9"/>
      <c r="I36" s="9"/>
      <c r="J36" s="9"/>
      <c r="K36" s="9"/>
      <c r="Q36" s="8"/>
      <c r="R36" s="7"/>
      <c r="U36" s="7"/>
      <c r="X36" s="7"/>
      <c r="AA36" s="7"/>
      <c r="AD36" s="7"/>
    </row>
    <row r="37" spans="1:32" x14ac:dyDescent="0.25">
      <c r="A37" s="8"/>
      <c r="B37" s="8"/>
      <c r="C37" s="9"/>
      <c r="D37" s="9"/>
      <c r="E37" s="9"/>
      <c r="F37" s="9"/>
      <c r="I37" s="9"/>
      <c r="J37" s="9"/>
      <c r="K37" s="9"/>
    </row>
    <row r="38" spans="1:32" x14ac:dyDescent="0.25">
      <c r="E38" s="9"/>
      <c r="F38" s="9"/>
      <c r="G38" s="9"/>
      <c r="H38" s="9"/>
      <c r="I38" s="9"/>
      <c r="J38" s="9"/>
      <c r="K38" s="9"/>
      <c r="Q38" s="8"/>
      <c r="R38" s="7"/>
      <c r="S38" s="9"/>
      <c r="T38" s="9"/>
      <c r="U38" s="7"/>
      <c r="V38" s="9"/>
      <c r="W38" s="9"/>
      <c r="X38" s="7"/>
      <c r="Y38" s="9"/>
      <c r="Z38" s="9"/>
      <c r="AA38" s="7"/>
      <c r="AB38" s="9"/>
      <c r="AC38" s="9"/>
      <c r="AD38" s="7"/>
      <c r="AE38" s="9"/>
      <c r="AF38" s="9"/>
    </row>
    <row r="39" spans="1:32" x14ac:dyDescent="0.25">
      <c r="E39" s="9"/>
      <c r="F39" s="9"/>
      <c r="G39" s="9"/>
      <c r="H39" s="9"/>
      <c r="I39" s="9"/>
      <c r="J39" s="9"/>
      <c r="K39" s="9"/>
      <c r="Q39" s="8"/>
      <c r="R39" s="7"/>
      <c r="U39" s="7"/>
      <c r="X39" s="7"/>
      <c r="AA39" s="7"/>
      <c r="AD39" s="7"/>
    </row>
    <row r="40" spans="1:32" x14ac:dyDescent="0.25">
      <c r="E40" s="9"/>
      <c r="F40" s="9"/>
      <c r="G40" s="9"/>
      <c r="H40" s="9"/>
      <c r="I40" s="9"/>
      <c r="J40" s="9"/>
      <c r="K40" s="9"/>
      <c r="Q40" s="8"/>
      <c r="R40" s="7"/>
      <c r="U40" s="7"/>
      <c r="X40" s="7"/>
      <c r="AA40" s="7"/>
      <c r="AD40" s="7"/>
    </row>
    <row r="41" spans="1:32" x14ac:dyDescent="0.25">
      <c r="E41" s="9"/>
      <c r="F41" s="9"/>
      <c r="G41" s="9"/>
      <c r="H41" s="9"/>
      <c r="I41" s="9"/>
      <c r="J41" s="9"/>
      <c r="K41" s="9"/>
    </row>
    <row r="42" spans="1:32" x14ac:dyDescent="0.25">
      <c r="Q42" s="8"/>
      <c r="R42" s="7"/>
      <c r="S42" s="9"/>
      <c r="T42" s="9"/>
      <c r="U42" s="7"/>
      <c r="V42" s="9"/>
      <c r="W42" s="9"/>
      <c r="X42" s="7"/>
      <c r="Y42" s="9"/>
      <c r="Z42" s="9"/>
      <c r="AA42" s="7"/>
      <c r="AB42" s="9"/>
      <c r="AC42" s="9"/>
      <c r="AD42" s="7"/>
      <c r="AE42" s="9"/>
      <c r="AF42" s="9"/>
    </row>
    <row r="43" spans="1:32" x14ac:dyDescent="0.25">
      <c r="Q43" s="8"/>
      <c r="R43" s="7"/>
      <c r="U43" s="7"/>
      <c r="X43" s="7"/>
      <c r="AA43" s="7"/>
      <c r="AD43" s="7"/>
    </row>
    <row r="44" spans="1:32" x14ac:dyDescent="0.25">
      <c r="Q44" s="8"/>
      <c r="R44" s="7"/>
      <c r="U44" s="7"/>
      <c r="X44" s="7"/>
      <c r="AA44" s="7"/>
      <c r="AD44" s="7"/>
    </row>
    <row r="46" spans="1:32" x14ac:dyDescent="0.25">
      <c r="Q46" s="8"/>
      <c r="R46" s="7"/>
      <c r="S46" s="9"/>
      <c r="T46" s="9"/>
      <c r="U46" s="7"/>
      <c r="V46" s="9"/>
      <c r="W46" s="9"/>
      <c r="X46" s="7"/>
      <c r="Y46" s="9"/>
      <c r="Z46" s="9"/>
      <c r="AA46" s="7"/>
      <c r="AB46" s="9"/>
      <c r="AC46" s="9"/>
      <c r="AD46" s="7"/>
      <c r="AE46" s="9"/>
      <c r="AF46" s="9"/>
    </row>
    <row r="47" spans="1:32" x14ac:dyDescent="0.25">
      <c r="Q47" s="8"/>
      <c r="R47" s="7"/>
      <c r="U47" s="7"/>
      <c r="X47" s="7"/>
      <c r="AA47" s="7"/>
      <c r="AD47" s="7"/>
    </row>
    <row r="48" spans="1:32" x14ac:dyDescent="0.25">
      <c r="C48" s="1"/>
      <c r="D48" s="1"/>
      <c r="E48" s="1"/>
      <c r="F48" s="1"/>
      <c r="Q48" s="8"/>
      <c r="R48" s="7"/>
      <c r="U48" s="7"/>
      <c r="X48" s="7"/>
      <c r="AA48" s="7"/>
      <c r="AD48" s="7"/>
    </row>
    <row r="50" spans="17:32" x14ac:dyDescent="0.25">
      <c r="Q50" s="8"/>
      <c r="R50" s="7"/>
      <c r="S50" s="9"/>
      <c r="T50" s="9"/>
      <c r="U50" s="7"/>
      <c r="V50" s="9"/>
      <c r="W50" s="9"/>
      <c r="X50" s="7"/>
      <c r="Y50" s="9"/>
      <c r="Z50" s="9"/>
      <c r="AA50" s="7"/>
      <c r="AB50" s="9"/>
      <c r="AC50" s="9"/>
      <c r="AD50" s="7"/>
      <c r="AE50" s="9"/>
      <c r="AF50" s="9"/>
    </row>
    <row r="51" spans="17:32" x14ac:dyDescent="0.25">
      <c r="Q51" s="8"/>
      <c r="R51" s="7"/>
      <c r="U51" s="7"/>
      <c r="X51" s="7"/>
      <c r="AA51" s="7"/>
      <c r="AD51" s="7"/>
    </row>
    <row r="52" spans="17:32" x14ac:dyDescent="0.25">
      <c r="Q52" s="8"/>
      <c r="R52" s="7"/>
      <c r="U52" s="7"/>
      <c r="X52" s="7"/>
      <c r="AA52" s="7"/>
      <c r="AD52" s="7"/>
    </row>
  </sheetData>
  <mergeCells count="10">
    <mergeCell ref="C17:D17"/>
    <mergeCell ref="E17:F17"/>
    <mergeCell ref="G17:H17"/>
    <mergeCell ref="I17:J17"/>
    <mergeCell ref="K17:L17"/>
    <mergeCell ref="C3:D3"/>
    <mergeCell ref="E3:F3"/>
    <mergeCell ref="G3:H3"/>
    <mergeCell ref="I3:J3"/>
    <mergeCell ref="K3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BF5A2-5025-40E9-A017-10F8BB571069}">
  <dimension ref="A1:M47"/>
  <sheetViews>
    <sheetView topLeftCell="A9" zoomScale="80" zoomScaleNormal="80" workbookViewId="0">
      <selection activeCell="K16" sqref="K16"/>
    </sheetView>
  </sheetViews>
  <sheetFormatPr baseColWidth="10" defaultColWidth="11.42578125" defaultRowHeight="15" x14ac:dyDescent="0.25"/>
  <cols>
    <col min="2" max="2" width="15.7109375" customWidth="1"/>
    <col min="4" max="4" width="13.28515625" customWidth="1"/>
    <col min="5" max="5" width="14" customWidth="1"/>
    <col min="6" max="6" width="15.85546875" customWidth="1"/>
    <col min="7" max="7" width="14.140625" style="8" customWidth="1"/>
    <col min="8" max="8" width="17.28515625" customWidth="1"/>
    <col min="9" max="9" width="16.7109375" customWidth="1"/>
  </cols>
  <sheetData>
    <row r="1" spans="1:13" ht="15.75" x14ac:dyDescent="0.25">
      <c r="A1" s="2" t="s">
        <v>19</v>
      </c>
    </row>
    <row r="3" spans="1:13" x14ac:dyDescent="0.25">
      <c r="A3" s="13" t="s">
        <v>18</v>
      </c>
      <c r="B3" s="13" t="s">
        <v>0</v>
      </c>
      <c r="C3" s="13" t="s">
        <v>20</v>
      </c>
      <c r="D3" s="11" t="s">
        <v>23</v>
      </c>
      <c r="E3" s="14" t="s">
        <v>21</v>
      </c>
      <c r="F3" s="11" t="s">
        <v>24</v>
      </c>
      <c r="G3" s="11" t="s">
        <v>25</v>
      </c>
      <c r="H3" s="11" t="s">
        <v>26</v>
      </c>
      <c r="I3" s="11" t="s">
        <v>27</v>
      </c>
      <c r="J3" s="11"/>
      <c r="K3" s="11"/>
      <c r="L3" s="11"/>
      <c r="M3" s="11"/>
    </row>
    <row r="5" spans="1:13" x14ac:dyDescent="0.25">
      <c r="A5" s="3" t="s">
        <v>1</v>
      </c>
      <c r="B5" s="8">
        <v>0</v>
      </c>
      <c r="C5" s="7">
        <v>1.7672036299377849</v>
      </c>
      <c r="D5" s="7">
        <v>138.77000000000001</v>
      </c>
      <c r="E5" s="7">
        <v>11.564166666666701</v>
      </c>
      <c r="F5" s="7">
        <v>57.67386326926048</v>
      </c>
      <c r="G5" s="7">
        <v>4.8061552724383736</v>
      </c>
      <c r="H5" s="7">
        <v>1544</v>
      </c>
      <c r="I5" s="7">
        <v>1884.4377527499646</v>
      </c>
    </row>
    <row r="6" spans="1:13" x14ac:dyDescent="0.25">
      <c r="A6" s="3" t="s">
        <v>1</v>
      </c>
      <c r="B6" s="8">
        <v>0</v>
      </c>
      <c r="C6" s="7">
        <v>1.6118450602258798</v>
      </c>
      <c r="D6" s="7">
        <v>168.14</v>
      </c>
      <c r="E6" s="7">
        <v>14.011666666666665</v>
      </c>
      <c r="F6" s="7">
        <v>68.672393631965633</v>
      </c>
      <c r="G6" s="7">
        <v>5.7226994693304691</v>
      </c>
      <c r="H6" s="7">
        <v>1983.5</v>
      </c>
      <c r="I6" s="7">
        <v>1391.5672802098509</v>
      </c>
    </row>
    <row r="7" spans="1:13" x14ac:dyDescent="0.25">
      <c r="A7" s="3" t="s">
        <v>1</v>
      </c>
      <c r="B7" s="8">
        <v>0</v>
      </c>
      <c r="C7" s="7">
        <v>1.4697970079568305</v>
      </c>
      <c r="D7" s="7">
        <v>163.19999999999999</v>
      </c>
      <c r="E7" s="7">
        <v>13.6</v>
      </c>
      <c r="F7" s="7">
        <v>69.976968311998959</v>
      </c>
      <c r="G7" s="7">
        <v>5.831414025999913</v>
      </c>
      <c r="H7" s="7">
        <v>2207.5</v>
      </c>
      <c r="I7" s="7">
        <v>1334.6735480606771</v>
      </c>
    </row>
    <row r="9" spans="1:13" x14ac:dyDescent="0.25">
      <c r="A9" s="3" t="s">
        <v>2</v>
      </c>
      <c r="B9" s="8">
        <v>1</v>
      </c>
      <c r="C9" s="7">
        <v>1.9330479657441144</v>
      </c>
      <c r="D9" s="7">
        <v>113.42</v>
      </c>
      <c r="E9" s="7">
        <v>9.4516666666666662</v>
      </c>
      <c r="F9" s="7">
        <v>70.544402620889556</v>
      </c>
      <c r="G9" s="7">
        <v>5.878700218407463</v>
      </c>
      <c r="H9" s="7">
        <v>1739.5</v>
      </c>
      <c r="I9" s="7">
        <v>1330.5673330280015</v>
      </c>
    </row>
    <row r="10" spans="1:13" x14ac:dyDescent="0.25">
      <c r="A10" s="3" t="s">
        <v>2</v>
      </c>
      <c r="B10" s="8">
        <v>1</v>
      </c>
      <c r="C10" s="7">
        <v>1.3713717915066095</v>
      </c>
      <c r="D10" s="7">
        <v>146.5</v>
      </c>
      <c r="E10" s="7">
        <v>12.208333333333334</v>
      </c>
      <c r="F10" s="7">
        <v>76.302052701710025</v>
      </c>
      <c r="G10" s="7">
        <v>6.358504391809169</v>
      </c>
      <c r="H10" s="7">
        <v>2602.5</v>
      </c>
      <c r="I10" s="7">
        <v>1069.7022324140007</v>
      </c>
    </row>
    <row r="11" spans="1:13" x14ac:dyDescent="0.25">
      <c r="A11" s="3" t="s">
        <v>2</v>
      </c>
      <c r="B11" s="8">
        <v>1</v>
      </c>
      <c r="C11" s="7">
        <v>1.5190653053105272</v>
      </c>
      <c r="D11" s="7">
        <v>163.01999999999998</v>
      </c>
      <c r="E11" s="7">
        <v>13.584999999999999</v>
      </c>
      <c r="F11" s="7">
        <v>66.220164177345467</v>
      </c>
      <c r="G11" s="7">
        <v>5.5183470147787892</v>
      </c>
      <c r="H11" s="7">
        <v>2067.5</v>
      </c>
      <c r="I11" s="7">
        <v>1531.5830267716492</v>
      </c>
    </row>
    <row r="13" spans="1:13" x14ac:dyDescent="0.25">
      <c r="A13" s="3" t="s">
        <v>3</v>
      </c>
      <c r="B13" s="8">
        <v>2</v>
      </c>
      <c r="C13" s="7">
        <v>1.8785048672248885</v>
      </c>
      <c r="D13" s="7">
        <v>79.039999999999992</v>
      </c>
      <c r="E13" s="7">
        <v>6.586666666666666</v>
      </c>
      <c r="F13" s="7">
        <v>56.155459286966945</v>
      </c>
      <c r="G13" s="7">
        <v>4.6796216072472454</v>
      </c>
      <c r="H13" s="7">
        <v>1457.5</v>
      </c>
      <c r="I13" s="7">
        <v>2004.2205099404277</v>
      </c>
    </row>
    <row r="14" spans="1:13" x14ac:dyDescent="0.25">
      <c r="A14" s="3" t="s">
        <v>3</v>
      </c>
      <c r="B14" s="8">
        <v>2</v>
      </c>
      <c r="C14" s="7">
        <v>1.6775685816271482</v>
      </c>
      <c r="D14" s="7">
        <v>78.06</v>
      </c>
      <c r="E14" s="7">
        <v>6.5049999999999999</v>
      </c>
      <c r="F14" s="7">
        <v>48.035694189876779</v>
      </c>
      <c r="G14" s="7">
        <v>4.0029745158230652</v>
      </c>
      <c r="H14" s="7">
        <v>1395.5</v>
      </c>
      <c r="I14" s="7">
        <v>2367.3661084635805</v>
      </c>
    </row>
    <row r="15" spans="1:13" x14ac:dyDescent="0.25">
      <c r="A15" s="3" t="s">
        <v>3</v>
      </c>
      <c r="B15" s="8">
        <v>2</v>
      </c>
      <c r="C15" s="7">
        <v>1.714386143270116</v>
      </c>
      <c r="D15" s="7">
        <v>75.69</v>
      </c>
      <c r="E15" s="7">
        <v>6.3075000000000001</v>
      </c>
      <c r="F15" s="7">
        <v>46.977999544856374</v>
      </c>
      <c r="G15" s="7">
        <v>3.9148332954046978</v>
      </c>
      <c r="H15" s="7">
        <v>1340</v>
      </c>
      <c r="I15" s="7">
        <v>2416.7552791317644</v>
      </c>
    </row>
    <row r="17" spans="1:9" x14ac:dyDescent="0.25">
      <c r="A17" s="3" t="s">
        <v>4</v>
      </c>
      <c r="B17" s="8">
        <v>3</v>
      </c>
      <c r="C17" s="7">
        <v>1.983659876050393</v>
      </c>
      <c r="D17" s="7">
        <v>49.89</v>
      </c>
      <c r="E17" s="7">
        <v>4.1574999999999998</v>
      </c>
      <c r="F17" s="7">
        <v>40.13567118077281</v>
      </c>
      <c r="G17" s="7">
        <v>3.344639265064401</v>
      </c>
      <c r="H17" s="7">
        <v>1020</v>
      </c>
      <c r="I17" s="7">
        <v>2748.6567603527351</v>
      </c>
    </row>
    <row r="18" spans="1:9" x14ac:dyDescent="0.25">
      <c r="A18" s="3" t="s">
        <v>4</v>
      </c>
      <c r="B18" s="8">
        <v>3</v>
      </c>
      <c r="C18" s="7">
        <v>2.6518763608162033</v>
      </c>
      <c r="D18" s="7">
        <v>42.92</v>
      </c>
      <c r="E18" s="7">
        <v>3.5766666666666667</v>
      </c>
      <c r="F18" s="7">
        <v>43.478351788817683</v>
      </c>
      <c r="G18" s="7">
        <v>3.6231959824014734</v>
      </c>
      <c r="H18" s="7">
        <v>845</v>
      </c>
      <c r="I18" s="7">
        <v>2599.3595919689888</v>
      </c>
    </row>
    <row r="19" spans="1:9" x14ac:dyDescent="0.25">
      <c r="A19" s="3" t="s">
        <v>4</v>
      </c>
      <c r="B19" s="8">
        <v>3</v>
      </c>
      <c r="C19" s="7"/>
      <c r="D19" s="7">
        <v>36.75</v>
      </c>
      <c r="E19" s="7">
        <v>3.0625</v>
      </c>
      <c r="F19" s="7"/>
      <c r="G19" s="7"/>
      <c r="H19" s="7">
        <v>265</v>
      </c>
      <c r="I19" s="7"/>
    </row>
    <row r="21" spans="1:9" x14ac:dyDescent="0.25">
      <c r="A21" s="3" t="s">
        <v>5</v>
      </c>
      <c r="B21" s="8">
        <v>4</v>
      </c>
      <c r="C21" s="7">
        <v>2.3521028656120615</v>
      </c>
      <c r="D21" s="7">
        <v>128.91</v>
      </c>
      <c r="E21" s="7">
        <v>10.7425</v>
      </c>
      <c r="F21" s="7">
        <v>59.580844378692014</v>
      </c>
      <c r="G21" s="7">
        <v>4.9650703648910008</v>
      </c>
      <c r="H21" s="7">
        <v>1237</v>
      </c>
      <c r="I21" s="7">
        <v>1828.6117730615315</v>
      </c>
    </row>
    <row r="22" spans="1:9" x14ac:dyDescent="0.25">
      <c r="A22" s="3" t="s">
        <v>5</v>
      </c>
      <c r="B22" s="8">
        <v>4</v>
      </c>
      <c r="C22" s="7">
        <v>1.4572856601174848</v>
      </c>
      <c r="D22" s="7">
        <v>127.06</v>
      </c>
      <c r="E22" s="7">
        <v>10.588333333333333</v>
      </c>
      <c r="F22" s="7">
        <v>60.801879857114152</v>
      </c>
      <c r="G22" s="7">
        <v>5.0668233214261793</v>
      </c>
      <c r="H22" s="7">
        <v>1978.5</v>
      </c>
      <c r="I22" s="7">
        <v>1773.2904880627293</v>
      </c>
    </row>
    <row r="23" spans="1:9" x14ac:dyDescent="0.25">
      <c r="A23" s="3" t="s">
        <v>5</v>
      </c>
      <c r="B23" s="8">
        <v>4</v>
      </c>
      <c r="C23" s="7">
        <v>1.7563751762597888</v>
      </c>
      <c r="D23" s="7">
        <v>101.64999999999999</v>
      </c>
      <c r="E23" s="7">
        <v>8.4708333333333332</v>
      </c>
      <c r="F23" s="7">
        <v>60.310090800306199</v>
      </c>
      <c r="G23" s="7">
        <v>5.0258409000255169</v>
      </c>
      <c r="H23" s="7">
        <v>1644.5</v>
      </c>
      <c r="I23" s="7">
        <v>1795.637518120277</v>
      </c>
    </row>
    <row r="25" spans="1:9" x14ac:dyDescent="0.25">
      <c r="A25" s="3" t="s">
        <v>6</v>
      </c>
      <c r="B25" s="8">
        <v>5</v>
      </c>
      <c r="C25" s="7">
        <v>2.1749152637083515</v>
      </c>
      <c r="D25" s="7">
        <v>108.3</v>
      </c>
      <c r="E25" s="7">
        <v>9.0250000000000004</v>
      </c>
      <c r="F25" s="7">
        <v>52.757262558792718</v>
      </c>
      <c r="G25" s="7">
        <v>4.3964385465660598</v>
      </c>
      <c r="H25" s="7">
        <v>1195.5</v>
      </c>
      <c r="I25" s="7">
        <v>2151.1013007588203</v>
      </c>
    </row>
    <row r="26" spans="1:9" x14ac:dyDescent="0.25">
      <c r="A26" s="3" t="s">
        <v>6</v>
      </c>
      <c r="B26" s="8">
        <v>5</v>
      </c>
      <c r="C26" s="7">
        <v>1.5794269062558448</v>
      </c>
      <c r="D26" s="7">
        <v>125.47999999999999</v>
      </c>
      <c r="E26" s="7">
        <v>10.456666666666665</v>
      </c>
      <c r="F26" s="7">
        <v>59.124551526805028</v>
      </c>
      <c r="G26" s="7">
        <v>4.927045960567086</v>
      </c>
      <c r="H26" s="7">
        <v>1790</v>
      </c>
      <c r="I26" s="7">
        <v>1855.1865290288645</v>
      </c>
    </row>
    <row r="27" spans="1:9" x14ac:dyDescent="0.25">
      <c r="A27" s="3" t="s">
        <v>6</v>
      </c>
      <c r="B27" s="8">
        <v>5</v>
      </c>
      <c r="C27" s="7">
        <v>1.4453746488341468</v>
      </c>
      <c r="D27" s="7">
        <v>123.61999999999998</v>
      </c>
      <c r="E27" s="7">
        <v>10.301666666666664</v>
      </c>
      <c r="F27" s="7">
        <v>55.98924213748775</v>
      </c>
      <c r="G27" s="7">
        <v>4.6657701781239789</v>
      </c>
      <c r="H27" s="7">
        <v>1841</v>
      </c>
      <c r="I27" s="7">
        <v>1988.258006510111</v>
      </c>
    </row>
    <row r="29" spans="1:9" x14ac:dyDescent="0.25">
      <c r="A29" s="3" t="s">
        <v>7</v>
      </c>
      <c r="B29" s="8">
        <v>6</v>
      </c>
      <c r="C29" s="7">
        <v>1.9396447447735068</v>
      </c>
      <c r="D29" s="7">
        <v>71.38000000000001</v>
      </c>
      <c r="E29" s="7">
        <v>5.9483333333333341</v>
      </c>
      <c r="F29" s="7">
        <v>39.254822753481697</v>
      </c>
      <c r="G29" s="7">
        <v>3.2712352294568081</v>
      </c>
      <c r="H29" s="7">
        <v>1011</v>
      </c>
      <c r="I29" s="7">
        <v>2761.3967178493122</v>
      </c>
    </row>
    <row r="30" spans="1:9" x14ac:dyDescent="0.25">
      <c r="A30" s="3" t="s">
        <v>7</v>
      </c>
      <c r="B30" s="8">
        <v>6</v>
      </c>
      <c r="C30" s="7">
        <v>1.912451701341775</v>
      </c>
      <c r="D30" s="7">
        <v>94.19</v>
      </c>
      <c r="E30" s="7">
        <v>7.8491666666666662</v>
      </c>
      <c r="F30" s="7">
        <v>40.241232695435734</v>
      </c>
      <c r="G30" s="7">
        <v>3.3534360579529778</v>
      </c>
      <c r="H30" s="7">
        <v>1045.5</v>
      </c>
      <c r="I30" s="7">
        <v>2710.7955444639388</v>
      </c>
    </row>
    <row r="31" spans="1:9" x14ac:dyDescent="0.25">
      <c r="A31" s="3" t="s">
        <v>7</v>
      </c>
      <c r="B31" s="8">
        <v>6</v>
      </c>
      <c r="C31" s="7">
        <v>1.8703418821375859</v>
      </c>
      <c r="D31" s="7">
        <v>109.6</v>
      </c>
      <c r="E31" s="7">
        <v>9.1333333333333329</v>
      </c>
      <c r="F31" s="7">
        <v>42.495247925917845</v>
      </c>
      <c r="G31" s="7">
        <v>3.5412706604931539</v>
      </c>
      <c r="H31" s="7">
        <v>1125.5</v>
      </c>
      <c r="I31" s="7">
        <v>2618.2726069715277</v>
      </c>
    </row>
    <row r="33" spans="1:10" x14ac:dyDescent="0.25">
      <c r="A33" s="3" t="s">
        <v>8</v>
      </c>
      <c r="B33" s="8">
        <v>7</v>
      </c>
      <c r="C33" s="7"/>
      <c r="D33" s="7">
        <v>48.849999999999994</v>
      </c>
      <c r="E33" s="7">
        <v>4.0708333333333329</v>
      </c>
      <c r="F33" s="7"/>
      <c r="G33" s="7"/>
      <c r="H33" s="7">
        <v>562</v>
      </c>
      <c r="I33" s="7"/>
    </row>
    <row r="34" spans="1:10" x14ac:dyDescent="0.25">
      <c r="A34" s="3" t="s">
        <v>8</v>
      </c>
      <c r="B34" s="8">
        <v>7</v>
      </c>
      <c r="C34" s="7">
        <v>2.1543205250609119</v>
      </c>
      <c r="D34" s="7">
        <v>61.099999999999994</v>
      </c>
      <c r="E34" s="7">
        <v>5.0916666666666659</v>
      </c>
      <c r="F34" s="7">
        <v>37.43522888081926</v>
      </c>
      <c r="G34" s="7">
        <v>3.1196024067349382</v>
      </c>
      <c r="H34" s="7">
        <v>881.5</v>
      </c>
      <c r="I34" s="7">
        <v>2846.1747455330542</v>
      </c>
    </row>
    <row r="35" spans="1:10" x14ac:dyDescent="0.25">
      <c r="A35" s="3" t="s">
        <v>8</v>
      </c>
      <c r="B35" s="8">
        <v>7</v>
      </c>
      <c r="C35" s="7">
        <v>2.3865457760547888</v>
      </c>
      <c r="D35" s="7">
        <v>44.02</v>
      </c>
      <c r="E35" s="7">
        <v>3.6683333333333334</v>
      </c>
      <c r="F35" s="7">
        <v>34.175355817652211</v>
      </c>
      <c r="G35" s="7">
        <v>2.8479463181376841</v>
      </c>
      <c r="H35" s="7">
        <v>743</v>
      </c>
      <c r="I35" s="7">
        <v>2997.0420746010918</v>
      </c>
    </row>
    <row r="37" spans="1:10" x14ac:dyDescent="0.25">
      <c r="A37" s="3" t="s">
        <v>9</v>
      </c>
      <c r="B37" s="8">
        <v>8</v>
      </c>
      <c r="C37" s="7">
        <v>1.7533593873743007</v>
      </c>
      <c r="D37" s="7">
        <v>98.97</v>
      </c>
      <c r="E37" s="7">
        <v>8.2475000000000005</v>
      </c>
      <c r="F37" s="7">
        <v>66.25657165684234</v>
      </c>
      <c r="G37" s="7">
        <v>5.521380971403528</v>
      </c>
      <c r="H37" s="7">
        <v>1791</v>
      </c>
      <c r="I37" s="7">
        <v>1518.0291422556268</v>
      </c>
      <c r="J37" s="8"/>
    </row>
    <row r="38" spans="1:10" x14ac:dyDescent="0.25">
      <c r="A38" s="3" t="s">
        <v>9</v>
      </c>
      <c r="B38" s="8">
        <v>8</v>
      </c>
      <c r="C38" s="7">
        <v>1.8913503529701754</v>
      </c>
      <c r="D38" s="7">
        <v>145.6</v>
      </c>
      <c r="E38" s="7">
        <v>12.133333333333333</v>
      </c>
      <c r="F38" s="7">
        <v>64.951744939444154</v>
      </c>
      <c r="G38" s="7">
        <v>5.4126454116203462</v>
      </c>
      <c r="H38" s="7">
        <v>1632.7</v>
      </c>
      <c r="I38" s="7">
        <v>1573.430030993215</v>
      </c>
    </row>
    <row r="39" spans="1:10" x14ac:dyDescent="0.25">
      <c r="A39" s="3" t="s">
        <v>9</v>
      </c>
      <c r="B39" s="8">
        <v>8</v>
      </c>
      <c r="C39" s="7">
        <v>1.6941573378850916</v>
      </c>
      <c r="D39" s="7">
        <v>159.43999999999997</v>
      </c>
      <c r="E39" s="7">
        <v>13.286666666666664</v>
      </c>
      <c r="F39" s="7">
        <v>74.43535284154072</v>
      </c>
      <c r="G39" s="7">
        <v>6.2029460701283936</v>
      </c>
      <c r="H39" s="7">
        <v>2069.5</v>
      </c>
      <c r="I39" s="7">
        <v>1151.1988508601869</v>
      </c>
    </row>
    <row r="41" spans="1:10" x14ac:dyDescent="0.25">
      <c r="A41" s="3" t="s">
        <v>10</v>
      </c>
      <c r="B41" s="8">
        <v>9</v>
      </c>
      <c r="C41" s="7">
        <v>1.5570888961009359</v>
      </c>
      <c r="D41" s="7">
        <v>137.78</v>
      </c>
      <c r="E41" s="7">
        <v>11.481666666666667</v>
      </c>
      <c r="F41" s="7">
        <v>76.519155159171547</v>
      </c>
      <c r="G41" s="7">
        <v>6.3765962632642958</v>
      </c>
      <c r="H41" s="7">
        <v>2309</v>
      </c>
      <c r="I41" s="7">
        <v>1059.7867901339416</v>
      </c>
    </row>
    <row r="42" spans="1:10" x14ac:dyDescent="0.25">
      <c r="A42" s="3" t="s">
        <v>10</v>
      </c>
      <c r="B42" s="8">
        <v>9</v>
      </c>
      <c r="C42" s="7">
        <v>1.5315426037105457</v>
      </c>
      <c r="D42" s="7">
        <v>146.31</v>
      </c>
      <c r="E42" s="7">
        <v>12.192500000000001</v>
      </c>
      <c r="F42" s="7">
        <v>78.167507458658619</v>
      </c>
      <c r="G42" s="7">
        <v>6.513958954888218</v>
      </c>
      <c r="H42" s="7">
        <v>2391.5</v>
      </c>
      <c r="I42" s="7">
        <v>984.07540272549124</v>
      </c>
    </row>
    <row r="43" spans="1:10" x14ac:dyDescent="0.25">
      <c r="A43" s="3" t="s">
        <v>10</v>
      </c>
      <c r="B43" s="8">
        <v>9</v>
      </c>
      <c r="C43" s="7">
        <v>1.5410161257548129</v>
      </c>
      <c r="D43" s="7">
        <v>138.16000000000003</v>
      </c>
      <c r="E43" s="7">
        <v>11.513333333333335</v>
      </c>
      <c r="F43" s="7">
        <v>78.144615537648733</v>
      </c>
      <c r="G43" s="7">
        <v>6.5120512948040608</v>
      </c>
      <c r="H43" s="7">
        <v>2375</v>
      </c>
      <c r="I43" s="7">
        <v>984.37975824588716</v>
      </c>
    </row>
    <row r="45" spans="1:10" x14ac:dyDescent="0.25">
      <c r="A45" s="3" t="s">
        <v>11</v>
      </c>
      <c r="B45" s="8">
        <v>10</v>
      </c>
      <c r="C45" s="7">
        <v>2.1905484958574402</v>
      </c>
      <c r="D45" s="7">
        <v>94.99</v>
      </c>
      <c r="E45" s="7">
        <v>7.9158333333333326</v>
      </c>
      <c r="F45" s="7">
        <v>67.641511927095891</v>
      </c>
      <c r="G45" s="7">
        <v>5.6367926605913246</v>
      </c>
      <c r="H45" s="7">
        <v>1489</v>
      </c>
      <c r="I45" s="7">
        <v>1464.9910066898069</v>
      </c>
    </row>
    <row r="46" spans="1:10" x14ac:dyDescent="0.25">
      <c r="A46" s="3" t="s">
        <v>11</v>
      </c>
      <c r="B46" s="8">
        <v>10</v>
      </c>
      <c r="C46" s="7">
        <v>1.8400723286719418</v>
      </c>
      <c r="D46" s="7">
        <v>118.51</v>
      </c>
      <c r="E46" s="7">
        <v>9.8758333333333344</v>
      </c>
      <c r="F46" s="7">
        <v>73.653809226811831</v>
      </c>
      <c r="G46" s="7">
        <v>6.1378174355676522</v>
      </c>
      <c r="H46" s="7">
        <v>1900.5</v>
      </c>
      <c r="I46" s="7">
        <v>1191.011901929161</v>
      </c>
    </row>
    <row r="47" spans="1:10" x14ac:dyDescent="0.25">
      <c r="A47" s="3" t="s">
        <v>11</v>
      </c>
      <c r="B47" s="8">
        <v>10</v>
      </c>
      <c r="C47" s="7">
        <v>2.0541326595251337</v>
      </c>
      <c r="D47" s="7">
        <v>121.65</v>
      </c>
      <c r="E47" s="7">
        <v>10.137500000000001</v>
      </c>
      <c r="F47" s="7">
        <v>73.578251732870129</v>
      </c>
      <c r="G47" s="7">
        <v>6.1315209777391777</v>
      </c>
      <c r="H47" s="7">
        <v>1709.5</v>
      </c>
      <c r="I47" s="7">
        <v>1193.8596589006465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A3213-AC4B-4890-A2DD-112EC3B5250E}">
  <dimension ref="A1:W83"/>
  <sheetViews>
    <sheetView topLeftCell="A42" zoomScale="80" zoomScaleNormal="80" workbookViewId="0">
      <selection activeCell="M63" sqref="M63"/>
    </sheetView>
  </sheetViews>
  <sheetFormatPr baseColWidth="10" defaultColWidth="11.42578125" defaultRowHeight="15" x14ac:dyDescent="0.25"/>
  <cols>
    <col min="1" max="1" width="23.7109375" customWidth="1"/>
    <col min="2" max="2" width="13.28515625" customWidth="1"/>
    <col min="3" max="3" width="15.42578125" customWidth="1"/>
    <col min="4" max="4" width="17.28515625" customWidth="1"/>
    <col min="5" max="5" width="12.85546875" bestFit="1" customWidth="1"/>
    <col min="6" max="6" width="11" bestFit="1" customWidth="1"/>
    <col min="7" max="7" width="17.85546875" customWidth="1"/>
    <col min="8" max="8" width="16.5703125" customWidth="1"/>
    <col min="9" max="9" width="14.140625" customWidth="1"/>
  </cols>
  <sheetData>
    <row r="1" spans="1:12" ht="15.75" x14ac:dyDescent="0.25">
      <c r="A1" s="2" t="s">
        <v>22</v>
      </c>
    </row>
    <row r="3" spans="1:12" x14ac:dyDescent="0.25">
      <c r="A3" s="13" t="s">
        <v>18</v>
      </c>
      <c r="B3" s="13" t="s">
        <v>0</v>
      </c>
      <c r="C3" s="13" t="s">
        <v>20</v>
      </c>
      <c r="D3" s="11" t="s">
        <v>23</v>
      </c>
      <c r="E3" s="14" t="s">
        <v>21</v>
      </c>
      <c r="F3" s="11" t="s">
        <v>24</v>
      </c>
      <c r="G3" s="11" t="s">
        <v>25</v>
      </c>
      <c r="H3" s="11" t="s">
        <v>26</v>
      </c>
      <c r="I3" s="11" t="s">
        <v>27</v>
      </c>
      <c r="J3" s="11"/>
      <c r="K3" s="11"/>
      <c r="L3" s="11"/>
    </row>
    <row r="5" spans="1:12" x14ac:dyDescent="0.25">
      <c r="A5" s="3" t="s">
        <v>1</v>
      </c>
      <c r="B5" s="8">
        <v>0</v>
      </c>
      <c r="C5" s="7">
        <v>2.9655870445344128</v>
      </c>
      <c r="D5" s="7"/>
      <c r="E5" s="7"/>
      <c r="F5" s="7">
        <v>34.18333333333333</v>
      </c>
      <c r="G5" s="7">
        <v>4.8833333333333329</v>
      </c>
      <c r="H5" s="7">
        <v>836</v>
      </c>
      <c r="I5" s="7">
        <v>3949</v>
      </c>
    </row>
    <row r="6" spans="1:12" x14ac:dyDescent="0.25">
      <c r="A6" s="3" t="s">
        <v>1</v>
      </c>
      <c r="B6" s="8">
        <v>0</v>
      </c>
      <c r="C6" s="7">
        <v>2.7732112403398528</v>
      </c>
      <c r="D6" s="7">
        <v>41.5</v>
      </c>
      <c r="E6" s="7">
        <v>0.84693877551020413</v>
      </c>
      <c r="F6" s="7">
        <v>30.083333333333332</v>
      </c>
      <c r="G6" s="7">
        <v>4.2976190476190474</v>
      </c>
      <c r="H6" s="7">
        <v>723</v>
      </c>
      <c r="I6" s="7">
        <v>4195</v>
      </c>
    </row>
    <row r="7" spans="1:12" x14ac:dyDescent="0.25">
      <c r="A7" s="3" t="s">
        <v>1</v>
      </c>
      <c r="B7" s="8">
        <v>0</v>
      </c>
      <c r="C7" s="7">
        <v>2.7272050614067735</v>
      </c>
      <c r="D7" s="7">
        <v>48</v>
      </c>
      <c r="E7" s="7">
        <v>0.97959183673469385</v>
      </c>
      <c r="F7" s="7">
        <v>30.533333333333335</v>
      </c>
      <c r="G7" s="7">
        <v>4.3619047619047624</v>
      </c>
      <c r="H7" s="7">
        <v>745</v>
      </c>
      <c r="I7" s="7">
        <v>4168</v>
      </c>
    </row>
    <row r="9" spans="1:12" x14ac:dyDescent="0.25">
      <c r="A9" s="3" t="s">
        <v>2</v>
      </c>
      <c r="B9" s="8">
        <v>1</v>
      </c>
      <c r="C9" s="7">
        <v>2.5425554837319542</v>
      </c>
      <c r="D9" s="7">
        <v>37.1</v>
      </c>
      <c r="E9" s="7">
        <v>0.75714285714285712</v>
      </c>
      <c r="F9" s="7">
        <v>21.633333333333333</v>
      </c>
      <c r="G9" s="7">
        <v>3.0904761904761906</v>
      </c>
      <c r="H9" s="7">
        <v>613</v>
      </c>
      <c r="I9" s="7">
        <v>4702</v>
      </c>
    </row>
    <row r="10" spans="1:12" x14ac:dyDescent="0.25">
      <c r="A10" s="3" t="s">
        <v>2</v>
      </c>
      <c r="B10" s="8">
        <v>1</v>
      </c>
      <c r="C10" s="7">
        <v>2.85569410191993</v>
      </c>
      <c r="D10" s="7">
        <v>37.799999999999997</v>
      </c>
      <c r="E10" s="7">
        <v>0.77142857142857135</v>
      </c>
      <c r="F10" s="7">
        <v>20.65</v>
      </c>
      <c r="G10" s="7">
        <v>2.9499999999999997</v>
      </c>
      <c r="H10" s="7">
        <v>506</v>
      </c>
      <c r="I10" s="7">
        <v>4761</v>
      </c>
    </row>
    <row r="11" spans="1:12" x14ac:dyDescent="0.25">
      <c r="A11" s="3" t="s">
        <v>2</v>
      </c>
      <c r="B11" s="8">
        <v>1</v>
      </c>
      <c r="C11" s="7">
        <v>2.5858235503379579</v>
      </c>
      <c r="D11" s="7">
        <v>40.300000000000004</v>
      </c>
      <c r="E11" s="7">
        <v>0.82244897959183683</v>
      </c>
      <c r="F11" s="7">
        <v>19.383333333333333</v>
      </c>
      <c r="G11" s="7">
        <v>2.769047619047619</v>
      </c>
      <c r="H11" s="7">
        <v>523</v>
      </c>
      <c r="I11" s="7">
        <v>4837</v>
      </c>
    </row>
    <row r="13" spans="1:12" x14ac:dyDescent="0.25">
      <c r="A13" s="3" t="s">
        <v>3</v>
      </c>
      <c r="B13" s="8">
        <v>2</v>
      </c>
      <c r="C13" s="7">
        <v>2.5210622417272637</v>
      </c>
      <c r="D13" s="7">
        <v>24.6</v>
      </c>
      <c r="E13" s="7">
        <v>0.50204081632653064</v>
      </c>
      <c r="F13" s="7">
        <v>13.116666666666667</v>
      </c>
      <c r="G13" s="7">
        <v>1.8738095238095238</v>
      </c>
      <c r="H13" s="7">
        <v>379</v>
      </c>
      <c r="I13" s="7">
        <v>5213</v>
      </c>
    </row>
    <row r="14" spans="1:12" x14ac:dyDescent="0.25">
      <c r="A14" s="3" t="s">
        <v>3</v>
      </c>
      <c r="B14" s="8">
        <v>2</v>
      </c>
      <c r="C14" s="7">
        <v>2.4972081640411528</v>
      </c>
      <c r="D14" s="7">
        <v>34.699999999999996</v>
      </c>
      <c r="E14" s="7">
        <v>0.70816326530612239</v>
      </c>
      <c r="F14" s="7">
        <v>17.516666666666666</v>
      </c>
      <c r="G14" s="7">
        <v>2.5023809523809524</v>
      </c>
      <c r="H14" s="7">
        <v>493</v>
      </c>
      <c r="I14" s="7">
        <v>4949</v>
      </c>
    </row>
    <row r="15" spans="1:12" x14ac:dyDescent="0.25">
      <c r="A15" s="3" t="s">
        <v>3</v>
      </c>
      <c r="B15" s="8">
        <v>2</v>
      </c>
      <c r="C15" s="7">
        <v>2.2281908624989724</v>
      </c>
      <c r="D15" s="7">
        <v>30.1</v>
      </c>
      <c r="E15" s="7">
        <v>0.61428571428571432</v>
      </c>
      <c r="F15" s="7">
        <v>13.55</v>
      </c>
      <c r="G15" s="7">
        <v>1.9357142857142857</v>
      </c>
      <c r="H15" s="7">
        <v>414</v>
      </c>
      <c r="I15" s="7">
        <v>5187</v>
      </c>
    </row>
    <row r="17" spans="1:9" x14ac:dyDescent="0.25">
      <c r="A17" s="3" t="s">
        <v>4</v>
      </c>
      <c r="B17" s="8">
        <v>3</v>
      </c>
      <c r="C17" s="7">
        <v>2.445388349514563</v>
      </c>
      <c r="D17" s="7">
        <v>22.8</v>
      </c>
      <c r="E17" s="7">
        <v>0.46530612244897962</v>
      </c>
      <c r="F17" s="7">
        <v>13.433333333333334</v>
      </c>
      <c r="G17" s="7">
        <v>1.9190476190476191</v>
      </c>
      <c r="H17" s="7">
        <v>454</v>
      </c>
      <c r="I17" s="7">
        <v>5194</v>
      </c>
    </row>
    <row r="18" spans="1:9" x14ac:dyDescent="0.25">
      <c r="A18" s="3" t="s">
        <v>4</v>
      </c>
      <c r="B18" s="8">
        <v>3</v>
      </c>
      <c r="C18" s="7">
        <v>2.3466320535592295</v>
      </c>
      <c r="D18" s="7">
        <v>20.6</v>
      </c>
      <c r="E18" s="7">
        <v>0.42040816326530617</v>
      </c>
      <c r="F18" s="7">
        <v>11.45</v>
      </c>
      <c r="G18" s="7">
        <v>1.6357142857142857</v>
      </c>
      <c r="H18" s="7">
        <v>366</v>
      </c>
      <c r="I18" s="7">
        <v>5313</v>
      </c>
    </row>
    <row r="19" spans="1:9" x14ac:dyDescent="0.25">
      <c r="A19" s="3" t="s">
        <v>4</v>
      </c>
      <c r="B19" s="8">
        <v>3</v>
      </c>
      <c r="C19" s="7">
        <v>2.0746316610822966</v>
      </c>
      <c r="D19" s="7">
        <v>24.299999999999997</v>
      </c>
      <c r="E19" s="7">
        <v>0.49591836734693873</v>
      </c>
      <c r="F19" s="7">
        <v>7.5333333333333332</v>
      </c>
      <c r="G19" s="7">
        <v>1.0761904761904761</v>
      </c>
      <c r="H19" s="7">
        <v>267</v>
      </c>
      <c r="I19" s="7">
        <v>5548</v>
      </c>
    </row>
    <row r="21" spans="1:9" x14ac:dyDescent="0.25">
      <c r="A21" s="3" t="s">
        <v>5</v>
      </c>
      <c r="B21" s="8">
        <v>4</v>
      </c>
      <c r="C21" s="7">
        <v>3.1439875653525506</v>
      </c>
      <c r="D21" s="7"/>
      <c r="E21" s="7"/>
      <c r="F21" s="7">
        <v>22.25</v>
      </c>
      <c r="G21" s="7">
        <v>3.1785714285714284</v>
      </c>
      <c r="H21" s="7">
        <v>569</v>
      </c>
      <c r="I21" s="7">
        <v>4665</v>
      </c>
    </row>
    <row r="22" spans="1:9" x14ac:dyDescent="0.25">
      <c r="A22" s="3" t="s">
        <v>5</v>
      </c>
      <c r="B22" s="8">
        <v>4</v>
      </c>
      <c r="C22" s="7">
        <v>2.836584452855301</v>
      </c>
      <c r="D22" s="7">
        <v>40.200000000000003</v>
      </c>
      <c r="E22" s="7">
        <v>0.82040816326530619</v>
      </c>
      <c r="F22" s="7">
        <v>22.733333333333334</v>
      </c>
      <c r="G22" s="7">
        <v>3.2476190476190476</v>
      </c>
      <c r="H22" s="7">
        <v>553</v>
      </c>
      <c r="I22" s="7">
        <v>4636</v>
      </c>
    </row>
    <row r="23" spans="1:9" x14ac:dyDescent="0.25">
      <c r="A23" s="3" t="s">
        <v>5</v>
      </c>
      <c r="B23" s="8">
        <v>4</v>
      </c>
      <c r="C23" s="7">
        <v>2.9156741305383518</v>
      </c>
      <c r="D23" s="7">
        <v>46.3</v>
      </c>
      <c r="E23" s="7">
        <v>0.94489795918367336</v>
      </c>
      <c r="F23" s="7">
        <v>25.5</v>
      </c>
      <c r="G23" s="7">
        <v>3.6428571428571428</v>
      </c>
      <c r="H23" s="7">
        <v>598</v>
      </c>
      <c r="I23" s="7">
        <v>4470</v>
      </c>
    </row>
    <row r="25" spans="1:9" x14ac:dyDescent="0.25">
      <c r="A25" s="3" t="s">
        <v>6</v>
      </c>
      <c r="B25" s="8">
        <v>5</v>
      </c>
      <c r="C25" s="7">
        <v>2.5304478625843077</v>
      </c>
      <c r="D25" s="7">
        <v>31.099999999999998</v>
      </c>
      <c r="E25" s="7">
        <v>0.63469387755102036</v>
      </c>
      <c r="F25" s="7">
        <v>17.383333333333333</v>
      </c>
      <c r="G25" s="7">
        <v>2.4833333333333334</v>
      </c>
      <c r="H25" s="7">
        <v>479</v>
      </c>
      <c r="I25" s="7">
        <v>4957</v>
      </c>
    </row>
    <row r="26" spans="1:9" x14ac:dyDescent="0.25">
      <c r="A26" s="3" t="s">
        <v>6</v>
      </c>
      <c r="B26" s="8">
        <v>5</v>
      </c>
      <c r="C26" s="7">
        <v>2.5634586812312974</v>
      </c>
      <c r="D26" s="7">
        <v>35.800000000000004</v>
      </c>
      <c r="E26" s="7">
        <v>0.73061224489795928</v>
      </c>
      <c r="F26" s="7">
        <v>20.416666666666668</v>
      </c>
      <c r="G26" s="7">
        <v>2.916666666666667</v>
      </c>
      <c r="H26" s="7">
        <v>550</v>
      </c>
      <c r="I26" s="7">
        <v>4775</v>
      </c>
    </row>
    <row r="27" spans="1:9" x14ac:dyDescent="0.25">
      <c r="A27" s="3" t="s">
        <v>6</v>
      </c>
      <c r="B27" s="8">
        <v>5</v>
      </c>
      <c r="C27" s="7">
        <v>2.8655432683868702</v>
      </c>
      <c r="D27" s="7">
        <v>33.6</v>
      </c>
      <c r="E27" s="7">
        <v>0.68571428571428572</v>
      </c>
      <c r="F27" s="7">
        <v>21.766666666666666</v>
      </c>
      <c r="G27" s="7">
        <v>3.1095238095238096</v>
      </c>
      <c r="H27" s="7">
        <v>529</v>
      </c>
      <c r="I27" s="7">
        <v>4694</v>
      </c>
    </row>
    <row r="29" spans="1:9" x14ac:dyDescent="0.25">
      <c r="A29" s="3" t="s">
        <v>7</v>
      </c>
      <c r="B29" s="8">
        <v>6</v>
      </c>
      <c r="C29" s="7">
        <v>2.7497431558590679</v>
      </c>
      <c r="D29" s="7">
        <v>22.9</v>
      </c>
      <c r="E29" s="7">
        <v>0.4673469387755102</v>
      </c>
      <c r="F29" s="7">
        <v>15.166666666666666</v>
      </c>
      <c r="G29" s="7">
        <v>2.1666666666666665</v>
      </c>
      <c r="H29" s="7">
        <v>420</v>
      </c>
      <c r="I29" s="7">
        <v>5090</v>
      </c>
    </row>
    <row r="30" spans="1:9" x14ac:dyDescent="0.25">
      <c r="A30" s="3" t="s">
        <v>7</v>
      </c>
      <c r="B30" s="8">
        <v>6</v>
      </c>
      <c r="C30" s="7">
        <v>2.5230927129661307</v>
      </c>
      <c r="D30" s="7">
        <v>28.500000000000004</v>
      </c>
      <c r="E30" s="7">
        <v>0.58163265306122458</v>
      </c>
      <c r="F30" s="7">
        <v>14.75</v>
      </c>
      <c r="G30" s="7">
        <v>2.1071428571428572</v>
      </c>
      <c r="H30" s="7">
        <v>424</v>
      </c>
      <c r="I30" s="7">
        <v>5115</v>
      </c>
    </row>
    <row r="31" spans="1:9" x14ac:dyDescent="0.25">
      <c r="A31" s="3" t="s">
        <v>7</v>
      </c>
      <c r="B31" s="8">
        <v>6</v>
      </c>
      <c r="C31" s="7">
        <v>2.2543319653442775</v>
      </c>
      <c r="D31" s="7">
        <v>30.599999999999994</v>
      </c>
      <c r="E31" s="7">
        <v>0.62448979591836729</v>
      </c>
      <c r="F31" s="7">
        <v>13.183333333333334</v>
      </c>
      <c r="G31" s="7">
        <v>1.8833333333333333</v>
      </c>
      <c r="H31" s="7">
        <v>400</v>
      </c>
      <c r="I31" s="7">
        <v>5209</v>
      </c>
    </row>
    <row r="33" spans="1:9" x14ac:dyDescent="0.25">
      <c r="A33" s="3" t="s">
        <v>8</v>
      </c>
      <c r="B33" s="8">
        <v>7</v>
      </c>
      <c r="C33" s="7">
        <v>1.7942372282128336</v>
      </c>
      <c r="D33" s="7">
        <v>13.100000000000001</v>
      </c>
      <c r="E33" s="7">
        <v>0.26734693877551025</v>
      </c>
      <c r="F33" s="7">
        <v>3.3833333333333333</v>
      </c>
      <c r="G33" s="7">
        <v>0.48333333333333334</v>
      </c>
      <c r="H33" s="7">
        <v>192</v>
      </c>
      <c r="I33" s="7">
        <v>5797</v>
      </c>
    </row>
    <row r="34" spans="1:9" x14ac:dyDescent="0.25">
      <c r="A34" s="3" t="s">
        <v>8</v>
      </c>
      <c r="B34" s="8">
        <v>7</v>
      </c>
      <c r="C34" s="7">
        <v>1.4951830443159924</v>
      </c>
      <c r="D34" s="7">
        <v>13.600000000000001</v>
      </c>
      <c r="E34" s="7">
        <v>0.27755102040816332</v>
      </c>
      <c r="F34" s="7">
        <v>3.2333333333333334</v>
      </c>
      <c r="G34" s="7">
        <v>0.46190476190476193</v>
      </c>
      <c r="H34" s="7">
        <v>203</v>
      </c>
      <c r="I34" s="7">
        <v>5806</v>
      </c>
    </row>
    <row r="35" spans="1:9" x14ac:dyDescent="0.25">
      <c r="A35" s="3" t="s">
        <v>8</v>
      </c>
      <c r="B35" s="8">
        <v>7</v>
      </c>
      <c r="C35" s="7">
        <v>0.92109080359733109</v>
      </c>
      <c r="D35" s="7">
        <v>14.100000000000001</v>
      </c>
      <c r="E35" s="7">
        <v>0.28775510204081634</v>
      </c>
      <c r="F35" s="7">
        <v>2.1166666666666667</v>
      </c>
      <c r="G35" s="7">
        <v>0.30238095238095236</v>
      </c>
      <c r="H35" s="7">
        <v>187</v>
      </c>
      <c r="I35" s="7">
        <v>5873</v>
      </c>
    </row>
    <row r="37" spans="1:9" x14ac:dyDescent="0.25">
      <c r="A37" s="3" t="s">
        <v>9</v>
      </c>
      <c r="B37" s="8">
        <v>8</v>
      </c>
      <c r="C37" s="7">
        <v>2.8337510442773599</v>
      </c>
      <c r="D37" s="7">
        <v>41.8</v>
      </c>
      <c r="E37" s="7">
        <v>0.85306122448979582</v>
      </c>
      <c r="F37" s="7">
        <v>28.266666666666666</v>
      </c>
      <c r="G37" s="7">
        <v>4.038095238095238</v>
      </c>
      <c r="H37" s="7">
        <v>701</v>
      </c>
      <c r="I37" s="7">
        <v>4304</v>
      </c>
    </row>
    <row r="38" spans="1:9" x14ac:dyDescent="0.25">
      <c r="A38" s="3" t="s">
        <v>9</v>
      </c>
      <c r="B38" s="8">
        <v>8</v>
      </c>
      <c r="C38" s="7">
        <v>2.6749991148249124</v>
      </c>
      <c r="D38" s="7">
        <v>42.2</v>
      </c>
      <c r="E38" s="7">
        <v>0.86122448979591848</v>
      </c>
      <c r="F38" s="7">
        <v>25.183333333333334</v>
      </c>
      <c r="G38" s="7">
        <v>3.5976190476190477</v>
      </c>
      <c r="H38" s="7">
        <v>637</v>
      </c>
      <c r="I38" s="7">
        <v>4489</v>
      </c>
    </row>
    <row r="39" spans="1:9" x14ac:dyDescent="0.25">
      <c r="A39" s="3" t="s">
        <v>9</v>
      </c>
      <c r="B39" s="8">
        <v>8</v>
      </c>
      <c r="C39" s="7">
        <v>2.7636509635974305</v>
      </c>
      <c r="D39" s="7">
        <v>40.200000000000003</v>
      </c>
      <c r="E39" s="7">
        <v>0.82040816326530619</v>
      </c>
      <c r="F39" s="7">
        <v>27.533333333333335</v>
      </c>
      <c r="G39" s="7">
        <v>3.9333333333333336</v>
      </c>
      <c r="H39" s="7">
        <v>671</v>
      </c>
      <c r="I39" s="7">
        <v>4348</v>
      </c>
    </row>
    <row r="41" spans="1:9" x14ac:dyDescent="0.25">
      <c r="A41" s="3" t="s">
        <v>10</v>
      </c>
      <c r="B41" s="8">
        <v>9</v>
      </c>
      <c r="C41" s="7">
        <v>2.5201565373190626</v>
      </c>
      <c r="D41" s="7">
        <v>32.799999999999997</v>
      </c>
      <c r="E41" s="7">
        <v>0.66938775510204074</v>
      </c>
      <c r="F41" s="7">
        <v>17.816666666666666</v>
      </c>
      <c r="G41" s="7">
        <v>2.5452380952380951</v>
      </c>
      <c r="H41" s="7">
        <v>491</v>
      </c>
      <c r="I41" s="7">
        <v>4931</v>
      </c>
    </row>
    <row r="42" spans="1:9" x14ac:dyDescent="0.25">
      <c r="A42" s="3" t="s">
        <v>10</v>
      </c>
      <c r="B42" s="8">
        <v>9</v>
      </c>
      <c r="C42" s="7">
        <v>2.4032679863324868</v>
      </c>
      <c r="D42" s="7">
        <v>39.099999999999994</v>
      </c>
      <c r="E42" s="7">
        <v>0.7979591836734693</v>
      </c>
      <c r="F42" s="7">
        <v>20.983333333333334</v>
      </c>
      <c r="G42" s="7">
        <v>2.9976190476190476</v>
      </c>
      <c r="H42" s="7">
        <v>596</v>
      </c>
      <c r="I42" s="7">
        <v>4741</v>
      </c>
    </row>
    <row r="43" spans="1:9" x14ac:dyDescent="0.25">
      <c r="A43" s="3" t="s">
        <v>10</v>
      </c>
      <c r="B43" s="8">
        <v>9</v>
      </c>
      <c r="C43" s="7">
        <v>2.3184612148549792</v>
      </c>
      <c r="D43" s="7">
        <v>28.2</v>
      </c>
      <c r="E43" s="7">
        <v>0.57551020408163267</v>
      </c>
      <c r="F43" s="7">
        <v>16.533333333333335</v>
      </c>
      <c r="G43" s="7">
        <v>2.361904761904762</v>
      </c>
      <c r="H43" s="7">
        <v>477</v>
      </c>
      <c r="I43" s="7">
        <v>5008</v>
      </c>
    </row>
    <row r="45" spans="1:9" x14ac:dyDescent="0.25">
      <c r="A45" s="3" t="s">
        <v>11</v>
      </c>
      <c r="B45" s="8">
        <v>10</v>
      </c>
      <c r="C45" s="7">
        <v>2.2424178378949593</v>
      </c>
      <c r="D45" s="7">
        <v>24.1</v>
      </c>
      <c r="E45" s="7">
        <v>0.49183673469387756</v>
      </c>
      <c r="F45" s="7">
        <v>17.683333333333334</v>
      </c>
      <c r="G45" s="7">
        <v>2.5261904761904761</v>
      </c>
      <c r="H45" s="7">
        <v>552</v>
      </c>
      <c r="I45" s="7">
        <v>4939</v>
      </c>
    </row>
    <row r="46" spans="1:9" x14ac:dyDescent="0.25">
      <c r="A46" s="3" t="s">
        <v>11</v>
      </c>
      <c r="B46" s="8">
        <v>10</v>
      </c>
      <c r="C46" s="7">
        <v>2.4614702295154673</v>
      </c>
      <c r="D46" s="7">
        <v>24.3</v>
      </c>
      <c r="E46" s="7">
        <v>0.49591836734693878</v>
      </c>
      <c r="F46" s="7">
        <v>14.8</v>
      </c>
      <c r="G46" s="7">
        <v>2.1142857142857143</v>
      </c>
      <c r="H46" s="7">
        <v>434</v>
      </c>
      <c r="I46" s="7">
        <v>5112</v>
      </c>
    </row>
    <row r="47" spans="1:9" x14ac:dyDescent="0.25">
      <c r="A47" s="3" t="s">
        <v>11</v>
      </c>
      <c r="B47" s="8">
        <v>10</v>
      </c>
      <c r="C47" s="7">
        <v>2.1458620567751971</v>
      </c>
      <c r="D47" s="7">
        <v>22.6</v>
      </c>
      <c r="E47" s="7">
        <v>0.4612244897959184</v>
      </c>
      <c r="F47" s="7">
        <v>10.116666666666667</v>
      </c>
      <c r="G47" s="7">
        <v>1.4452380952380952</v>
      </c>
      <c r="H47" s="7">
        <v>332</v>
      </c>
      <c r="I47" s="7">
        <v>5393</v>
      </c>
    </row>
    <row r="50" spans="1:23" x14ac:dyDescent="0.25">
      <c r="A50" s="13" t="s">
        <v>18</v>
      </c>
      <c r="B50" s="13" t="s">
        <v>0</v>
      </c>
      <c r="C50" s="13" t="s">
        <v>20</v>
      </c>
      <c r="D50" s="11" t="s">
        <v>23</v>
      </c>
      <c r="E50" s="14" t="s">
        <v>21</v>
      </c>
      <c r="F50" s="11" t="s">
        <v>24</v>
      </c>
      <c r="G50" s="11" t="s">
        <v>25</v>
      </c>
      <c r="H50" s="11" t="s">
        <v>26</v>
      </c>
      <c r="I50" s="11" t="s">
        <v>27</v>
      </c>
      <c r="J50" s="11"/>
      <c r="K50" s="11"/>
      <c r="L50" s="11"/>
      <c r="N50" s="19"/>
      <c r="O50" s="18"/>
      <c r="P50" s="18"/>
      <c r="Q50" s="18"/>
      <c r="R50" s="18"/>
      <c r="S50" s="18"/>
      <c r="T50" s="20"/>
      <c r="U50" s="20"/>
      <c r="V50" s="20"/>
      <c r="W50" s="20"/>
    </row>
    <row r="52" spans="1:23" x14ac:dyDescent="0.25">
      <c r="A52" s="21" t="s">
        <v>54</v>
      </c>
      <c r="B52" s="26" t="s">
        <v>55</v>
      </c>
      <c r="C52" s="28">
        <v>3</v>
      </c>
      <c r="D52" s="22">
        <v>52.8</v>
      </c>
      <c r="E52" s="28">
        <v>0.9</v>
      </c>
      <c r="F52" s="28">
        <v>39.200000000000003</v>
      </c>
      <c r="G52" s="28">
        <v>4.9000000000000004</v>
      </c>
      <c r="H52" s="24">
        <v>30.784199999999998</v>
      </c>
      <c r="I52" s="24">
        <v>107.9183</v>
      </c>
    </row>
    <row r="53" spans="1:23" x14ac:dyDescent="0.25">
      <c r="A53" s="21" t="s">
        <v>54</v>
      </c>
      <c r="B53" s="26" t="s">
        <v>55</v>
      </c>
      <c r="C53" s="28">
        <v>3</v>
      </c>
      <c r="D53" s="22">
        <v>50.4</v>
      </c>
      <c r="E53" s="28">
        <v>0.9</v>
      </c>
      <c r="F53" s="28">
        <v>36.299999999999997</v>
      </c>
      <c r="G53" s="28">
        <v>4.5</v>
      </c>
      <c r="H53" s="24">
        <v>28.911000000000001</v>
      </c>
      <c r="I53" s="24">
        <v>113.0333</v>
      </c>
    </row>
    <row r="54" spans="1:23" x14ac:dyDescent="0.25">
      <c r="A54" s="21" t="s">
        <v>54</v>
      </c>
      <c r="B54" s="26" t="s">
        <v>55</v>
      </c>
      <c r="C54" s="28">
        <v>2.9</v>
      </c>
      <c r="D54" s="22">
        <v>56.8</v>
      </c>
      <c r="E54" s="28">
        <v>1</v>
      </c>
      <c r="F54" s="28">
        <v>38.700000000000003</v>
      </c>
      <c r="G54" s="28">
        <v>4.8</v>
      </c>
      <c r="H54" s="24">
        <v>31.164000000000001</v>
      </c>
      <c r="I54" s="24">
        <v>108.80759999999999</v>
      </c>
    </row>
    <row r="55" spans="1:23" x14ac:dyDescent="0.25">
      <c r="A55" s="20"/>
      <c r="B55" s="26"/>
      <c r="C55" s="29"/>
      <c r="D55" s="29"/>
      <c r="E55" s="29"/>
      <c r="F55" s="29"/>
      <c r="G55" s="29"/>
      <c r="H55" s="29"/>
      <c r="I55" s="29"/>
    </row>
    <row r="56" spans="1:23" x14ac:dyDescent="0.25">
      <c r="A56" s="21" t="s">
        <v>58</v>
      </c>
      <c r="B56" s="26" t="s">
        <v>56</v>
      </c>
      <c r="C56" s="28">
        <v>1.5</v>
      </c>
      <c r="D56" s="28">
        <v>96.1</v>
      </c>
      <c r="E56" s="28">
        <v>1.7</v>
      </c>
      <c r="F56" s="28">
        <v>47</v>
      </c>
      <c r="G56" s="28">
        <v>5.9</v>
      </c>
      <c r="H56" s="24">
        <v>65.017499999999998</v>
      </c>
      <c r="I56" s="24">
        <v>94.070999999999998</v>
      </c>
    </row>
    <row r="57" spans="1:23" x14ac:dyDescent="0.25">
      <c r="A57" s="21" t="s">
        <v>58</v>
      </c>
      <c r="B57" s="26" t="s">
        <v>56</v>
      </c>
      <c r="C57" s="28">
        <v>1.6</v>
      </c>
      <c r="D57" s="28">
        <v>109.2</v>
      </c>
      <c r="E57" s="28">
        <v>1.9</v>
      </c>
      <c r="F57" s="28">
        <v>51.2</v>
      </c>
      <c r="G57" s="28">
        <v>6.4</v>
      </c>
      <c r="H57" s="24">
        <v>64.500799999999998</v>
      </c>
      <c r="I57" s="24">
        <v>86.615600000000001</v>
      </c>
    </row>
    <row r="58" spans="1:23" x14ac:dyDescent="0.25">
      <c r="A58" s="21" t="s">
        <v>58</v>
      </c>
      <c r="B58" s="26" t="s">
        <v>56</v>
      </c>
      <c r="C58" s="28">
        <v>1.6</v>
      </c>
      <c r="D58" s="28">
        <v>106.5</v>
      </c>
      <c r="E58" s="28">
        <v>1.9</v>
      </c>
      <c r="F58" s="28">
        <v>49.3</v>
      </c>
      <c r="G58" s="28">
        <v>6.2</v>
      </c>
      <c r="H58" s="24">
        <v>63.478200000000001</v>
      </c>
      <c r="I58" s="24">
        <v>90.192800000000005</v>
      </c>
    </row>
    <row r="59" spans="1:23" x14ac:dyDescent="0.25">
      <c r="A59" s="20"/>
      <c r="B59" s="26"/>
      <c r="C59" s="29"/>
      <c r="D59" s="29"/>
      <c r="E59" s="29"/>
      <c r="F59" s="29"/>
      <c r="G59" s="29"/>
      <c r="H59" s="29"/>
      <c r="I59" s="29"/>
    </row>
    <row r="60" spans="1:23" x14ac:dyDescent="0.25">
      <c r="A60" s="27" t="s">
        <v>59</v>
      </c>
      <c r="B60" s="26" t="s">
        <v>57</v>
      </c>
      <c r="C60" s="28">
        <v>2.5</v>
      </c>
      <c r="D60" s="28">
        <v>61.2</v>
      </c>
      <c r="E60" s="28">
        <v>1.1000000000000001</v>
      </c>
      <c r="F60" s="28">
        <v>42</v>
      </c>
      <c r="G60" s="28">
        <v>5.2</v>
      </c>
      <c r="H60" s="24">
        <v>37.771000000000001</v>
      </c>
      <c r="I60" s="24">
        <v>102.98399999999999</v>
      </c>
    </row>
    <row r="61" spans="1:23" x14ac:dyDescent="0.25">
      <c r="A61" s="27" t="s">
        <v>59</v>
      </c>
      <c r="B61" s="26" t="s">
        <v>57</v>
      </c>
      <c r="C61" s="28">
        <v>2.5</v>
      </c>
      <c r="D61" s="28">
        <v>64.099999999999994</v>
      </c>
      <c r="E61" s="28">
        <v>1.1000000000000001</v>
      </c>
      <c r="F61" s="28">
        <v>41.6</v>
      </c>
      <c r="G61" s="28">
        <v>5.2</v>
      </c>
      <c r="H61" s="24">
        <v>36.702199999999998</v>
      </c>
      <c r="I61" s="24">
        <v>103.8771</v>
      </c>
    </row>
    <row r="62" spans="1:23" x14ac:dyDescent="0.25">
      <c r="A62" s="27" t="s">
        <v>59</v>
      </c>
      <c r="B62" s="26" t="s">
        <v>57</v>
      </c>
      <c r="C62" s="28">
        <v>2.6</v>
      </c>
      <c r="D62" s="28">
        <v>63.4</v>
      </c>
      <c r="E62" s="28">
        <v>1.1000000000000001</v>
      </c>
      <c r="F62" s="28">
        <v>40.4</v>
      </c>
      <c r="G62" s="28">
        <v>5.0999999999999996</v>
      </c>
      <c r="H62" s="24">
        <v>34.732500000000002</v>
      </c>
      <c r="I62" s="24">
        <v>105.8419</v>
      </c>
    </row>
    <row r="63" spans="1:23" x14ac:dyDescent="0.25">
      <c r="A63" s="20"/>
      <c r="B63" s="26"/>
      <c r="C63" s="29"/>
      <c r="D63" s="29"/>
      <c r="E63" s="29"/>
      <c r="F63" s="29"/>
      <c r="G63" s="29"/>
      <c r="H63" s="29"/>
      <c r="I63" s="29"/>
    </row>
    <row r="64" spans="1:23" x14ac:dyDescent="0.25">
      <c r="A64" s="26" t="s">
        <v>50</v>
      </c>
      <c r="B64" s="26" t="s">
        <v>47</v>
      </c>
      <c r="C64" s="28">
        <v>1.2</v>
      </c>
      <c r="D64" s="28">
        <v>45.8</v>
      </c>
      <c r="E64" s="28">
        <v>0.8</v>
      </c>
      <c r="F64" s="28">
        <v>5.7</v>
      </c>
      <c r="G64" s="28">
        <v>0.7</v>
      </c>
      <c r="H64" s="24">
        <v>15.7943</v>
      </c>
      <c r="I64" s="24">
        <v>167.60499999999999</v>
      </c>
    </row>
    <row r="65" spans="1:9" x14ac:dyDescent="0.25">
      <c r="A65" s="26" t="s">
        <v>50</v>
      </c>
      <c r="B65" s="26" t="s">
        <v>47</v>
      </c>
      <c r="C65" s="28">
        <v>1.5</v>
      </c>
      <c r="D65" s="28">
        <v>43.9</v>
      </c>
      <c r="E65" s="28">
        <v>0.8</v>
      </c>
      <c r="F65" s="28">
        <v>5.0999999999999996</v>
      </c>
      <c r="G65" s="28">
        <v>0.6</v>
      </c>
      <c r="H65" s="24">
        <v>13.5548</v>
      </c>
      <c r="I65" s="24">
        <v>168.34540000000001</v>
      </c>
    </row>
    <row r="66" spans="1:9" x14ac:dyDescent="0.25">
      <c r="A66" s="26" t="s">
        <v>50</v>
      </c>
      <c r="B66" s="26" t="s">
        <v>47</v>
      </c>
      <c r="C66" s="28">
        <v>1.4</v>
      </c>
      <c r="D66" s="28">
        <v>43.1</v>
      </c>
      <c r="E66" s="28">
        <v>0.8</v>
      </c>
      <c r="F66" s="28">
        <v>5.6</v>
      </c>
      <c r="G66" s="28">
        <v>0.7</v>
      </c>
      <c r="H66" s="24">
        <v>13.927899999999999</v>
      </c>
      <c r="I66" s="24">
        <v>152.7997</v>
      </c>
    </row>
    <row r="67" spans="1:9" x14ac:dyDescent="0.25">
      <c r="A67" s="21"/>
      <c r="B67" s="26"/>
      <c r="C67" s="29"/>
      <c r="D67" s="29"/>
      <c r="E67" s="29"/>
      <c r="F67" s="29"/>
      <c r="G67" s="29"/>
      <c r="H67" s="29"/>
      <c r="I67" s="29"/>
    </row>
    <row r="68" spans="1:9" x14ac:dyDescent="0.25">
      <c r="A68" s="21" t="s">
        <v>51</v>
      </c>
      <c r="B68" s="26" t="s">
        <v>48</v>
      </c>
      <c r="C68" s="28">
        <v>1.3039544037181197</v>
      </c>
      <c r="D68" s="28">
        <v>66.14200000000001</v>
      </c>
      <c r="E68" s="28">
        <v>1.2</v>
      </c>
      <c r="F68" s="28">
        <v>23.8</v>
      </c>
      <c r="G68" s="28">
        <v>3</v>
      </c>
      <c r="H68" s="24">
        <v>39.1173</v>
      </c>
      <c r="I68" s="24">
        <v>135.31809999999999</v>
      </c>
    </row>
    <row r="69" spans="1:9" x14ac:dyDescent="0.25">
      <c r="A69" s="21" t="s">
        <v>51</v>
      </c>
      <c r="B69" s="26" t="s">
        <v>48</v>
      </c>
      <c r="C69" s="28">
        <v>1.3039544037181197</v>
      </c>
      <c r="D69" s="28">
        <v>62.927000000000014</v>
      </c>
      <c r="E69" s="28">
        <v>1.1000000000000001</v>
      </c>
      <c r="F69" s="28">
        <v>23.8</v>
      </c>
      <c r="G69" s="28">
        <v>3</v>
      </c>
      <c r="H69" s="24">
        <v>39.344999999999999</v>
      </c>
      <c r="I69" s="24">
        <v>135.43430000000001</v>
      </c>
    </row>
    <row r="70" spans="1:9" x14ac:dyDescent="0.25">
      <c r="A70" s="21" t="s">
        <v>51</v>
      </c>
      <c r="B70" s="26" t="s">
        <v>48</v>
      </c>
      <c r="C70" s="28">
        <v>1.3039544037181197</v>
      </c>
      <c r="D70" s="28">
        <v>58.282999999999994</v>
      </c>
      <c r="E70" s="28">
        <v>1</v>
      </c>
      <c r="F70" s="28">
        <v>23.7</v>
      </c>
      <c r="G70" s="28">
        <v>3</v>
      </c>
      <c r="H70" s="24">
        <v>39.385199999999998</v>
      </c>
      <c r="I70" s="24">
        <v>134.1643</v>
      </c>
    </row>
    <row r="71" spans="1:9" x14ac:dyDescent="0.25">
      <c r="A71" s="21"/>
      <c r="B71" s="26"/>
      <c r="C71" s="29"/>
      <c r="D71" s="29"/>
      <c r="E71" s="29"/>
      <c r="F71" s="29"/>
      <c r="G71" s="29"/>
      <c r="H71" s="29"/>
      <c r="I71" s="29"/>
    </row>
    <row r="72" spans="1:9" x14ac:dyDescent="0.25">
      <c r="A72" s="21" t="s">
        <v>43</v>
      </c>
      <c r="B72" s="26" t="s">
        <v>49</v>
      </c>
      <c r="C72" s="28">
        <v>1.5</v>
      </c>
      <c r="D72" s="28">
        <v>96.5</v>
      </c>
      <c r="E72" s="28">
        <v>1.7</v>
      </c>
      <c r="F72" s="28">
        <v>49</v>
      </c>
      <c r="G72" s="28">
        <v>6.1</v>
      </c>
      <c r="H72" s="24">
        <v>64.891499999999994</v>
      </c>
      <c r="I72" s="24">
        <v>90.53</v>
      </c>
    </row>
    <row r="73" spans="1:9" x14ac:dyDescent="0.25">
      <c r="A73" s="21" t="s">
        <v>43</v>
      </c>
      <c r="B73" s="26" t="s">
        <v>49</v>
      </c>
      <c r="C73" s="28">
        <v>1.5</v>
      </c>
      <c r="D73" s="28">
        <v>92.3</v>
      </c>
      <c r="E73" s="28">
        <v>1.6</v>
      </c>
      <c r="F73" s="28">
        <v>48.3</v>
      </c>
      <c r="G73" s="28">
        <v>6</v>
      </c>
      <c r="H73" s="24">
        <v>66.358000000000004</v>
      </c>
      <c r="I73" s="24">
        <v>92.037800000000004</v>
      </c>
    </row>
    <row r="74" spans="1:9" x14ac:dyDescent="0.25">
      <c r="A74" s="21" t="s">
        <v>43</v>
      </c>
      <c r="B74" s="26" t="s">
        <v>49</v>
      </c>
      <c r="C74" s="28">
        <v>1.5</v>
      </c>
      <c r="D74" s="28">
        <v>95.8</v>
      </c>
      <c r="E74" s="28">
        <v>1.7</v>
      </c>
      <c r="F74" s="28">
        <v>48.4</v>
      </c>
      <c r="G74" s="28">
        <v>6.1</v>
      </c>
      <c r="H74" s="24">
        <v>65.048000000000002</v>
      </c>
      <c r="I74" s="24">
        <v>90.332599999999999</v>
      </c>
    </row>
    <row r="75" spans="1:9" x14ac:dyDescent="0.25">
      <c r="A75" s="26"/>
      <c r="B75" s="26"/>
      <c r="C75" s="29"/>
      <c r="D75" s="29"/>
      <c r="E75" s="29"/>
      <c r="F75" s="29"/>
      <c r="G75" s="29"/>
      <c r="H75" s="29"/>
      <c r="I75" s="29"/>
    </row>
    <row r="76" spans="1:9" x14ac:dyDescent="0.25">
      <c r="A76" s="21" t="s">
        <v>44</v>
      </c>
      <c r="B76" s="26" t="s">
        <v>52</v>
      </c>
      <c r="C76" s="28">
        <v>1.4</v>
      </c>
      <c r="D76" s="28">
        <v>90.8</v>
      </c>
      <c r="E76" s="28">
        <v>1.6</v>
      </c>
      <c r="F76" s="28">
        <v>42.3</v>
      </c>
      <c r="G76" s="28">
        <v>5.3</v>
      </c>
      <c r="H76" s="24">
        <v>60.43</v>
      </c>
      <c r="I76" s="24">
        <v>102.4379</v>
      </c>
    </row>
    <row r="77" spans="1:9" x14ac:dyDescent="0.25">
      <c r="A77" s="21" t="s">
        <v>44</v>
      </c>
      <c r="B77" s="26" t="s">
        <v>52</v>
      </c>
      <c r="C77" s="28">
        <v>1.4</v>
      </c>
      <c r="D77" s="28">
        <v>82.5</v>
      </c>
      <c r="E77" s="28">
        <v>1.5</v>
      </c>
      <c r="F77" s="28">
        <v>43.2</v>
      </c>
      <c r="G77" s="28">
        <v>5.4</v>
      </c>
      <c r="H77" s="24">
        <v>61.4848</v>
      </c>
      <c r="I77" s="24">
        <v>100.6617</v>
      </c>
    </row>
    <row r="78" spans="1:9" x14ac:dyDescent="0.25">
      <c r="A78" s="21" t="s">
        <v>44</v>
      </c>
      <c r="B78" s="26" t="s">
        <v>52</v>
      </c>
      <c r="C78" s="28">
        <v>1.4</v>
      </c>
      <c r="D78" s="28">
        <v>88.7</v>
      </c>
      <c r="E78" s="28">
        <v>1.6</v>
      </c>
      <c r="F78" s="28">
        <v>41.7</v>
      </c>
      <c r="G78" s="28">
        <v>5.2</v>
      </c>
      <c r="H78" s="24">
        <v>59.923099999999998</v>
      </c>
      <c r="I78" s="24">
        <v>102.7239</v>
      </c>
    </row>
    <row r="79" spans="1:9" x14ac:dyDescent="0.25">
      <c r="A79" s="26"/>
      <c r="B79" s="26"/>
      <c r="C79" s="29"/>
      <c r="D79" s="29"/>
      <c r="E79" s="29"/>
      <c r="F79" s="29"/>
      <c r="G79" s="29"/>
      <c r="H79" s="29"/>
      <c r="I79" s="29"/>
    </row>
    <row r="80" spans="1:9" x14ac:dyDescent="0.25">
      <c r="A80" s="21" t="s">
        <v>45</v>
      </c>
      <c r="B80" s="26" t="s">
        <v>53</v>
      </c>
      <c r="C80" s="28">
        <v>1.3</v>
      </c>
      <c r="D80" s="28">
        <v>66.599999999999994</v>
      </c>
      <c r="E80" s="28">
        <v>1.2</v>
      </c>
      <c r="F80" s="28">
        <v>30.9</v>
      </c>
      <c r="G80" s="28">
        <v>3.9</v>
      </c>
      <c r="H80" s="24">
        <v>49.858499999999999</v>
      </c>
      <c r="I80" s="24">
        <v>122.38</v>
      </c>
    </row>
    <row r="81" spans="1:9" x14ac:dyDescent="0.25">
      <c r="A81" s="21" t="s">
        <v>45</v>
      </c>
      <c r="B81" s="26" t="s">
        <v>53</v>
      </c>
      <c r="C81" s="28">
        <v>1.3</v>
      </c>
      <c r="D81" s="28">
        <v>72.5</v>
      </c>
      <c r="E81" s="28">
        <v>1.3</v>
      </c>
      <c r="F81" s="28">
        <v>32.4</v>
      </c>
      <c r="G81" s="28">
        <v>4.0999999999999996</v>
      </c>
      <c r="H81" s="24">
        <v>51.278300000000002</v>
      </c>
      <c r="I81" s="24">
        <v>119.8541</v>
      </c>
    </row>
    <row r="82" spans="1:9" x14ac:dyDescent="0.25">
      <c r="A82" s="21" t="s">
        <v>45</v>
      </c>
      <c r="B82" s="26" t="s">
        <v>53</v>
      </c>
      <c r="C82" s="28">
        <v>1.6</v>
      </c>
      <c r="D82" s="28">
        <v>74</v>
      </c>
      <c r="E82" s="28">
        <v>1.3</v>
      </c>
      <c r="F82" s="28">
        <v>36.6</v>
      </c>
      <c r="G82" s="28">
        <v>4.5999999999999996</v>
      </c>
      <c r="H82" s="24">
        <v>47.585700000000003</v>
      </c>
      <c r="I82" s="24">
        <v>112.489</v>
      </c>
    </row>
    <row r="83" spans="1:9" x14ac:dyDescent="0.25">
      <c r="A83" s="8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4FC1C-12A3-472D-AB80-9F97080806F7}">
  <dimension ref="A1:K75"/>
  <sheetViews>
    <sheetView zoomScale="80" zoomScaleNormal="80" workbookViewId="0">
      <selection activeCell="A2" sqref="A2"/>
    </sheetView>
  </sheetViews>
  <sheetFormatPr baseColWidth="10" defaultColWidth="11.42578125" defaultRowHeight="15" x14ac:dyDescent="0.25"/>
  <cols>
    <col min="2" max="2" width="12" bestFit="1" customWidth="1"/>
    <col min="3" max="3" width="14.28515625" customWidth="1"/>
    <col min="4" max="4" width="11.5703125" bestFit="1" customWidth="1"/>
    <col min="5" max="5" width="12.28515625" bestFit="1" customWidth="1"/>
    <col min="6" max="6" width="12.85546875" bestFit="1" customWidth="1"/>
    <col min="9" max="10" width="12.7109375" customWidth="1"/>
    <col min="11" max="11" width="13.5703125" customWidth="1"/>
    <col min="12" max="12" width="13.28515625" customWidth="1"/>
    <col min="13" max="14" width="11.85546875" customWidth="1"/>
  </cols>
  <sheetData>
    <row r="1" spans="1:9" ht="15.75" x14ac:dyDescent="0.25">
      <c r="A1" s="2" t="s">
        <v>39</v>
      </c>
    </row>
    <row r="3" spans="1:9" x14ac:dyDescent="0.25">
      <c r="A3" s="11" t="s">
        <v>18</v>
      </c>
      <c r="B3" s="11" t="s">
        <v>0</v>
      </c>
      <c r="C3" s="11" t="s">
        <v>12</v>
      </c>
      <c r="D3" s="11" t="s">
        <v>15</v>
      </c>
      <c r="E3" s="11" t="s">
        <v>14</v>
      </c>
      <c r="F3" s="11" t="s">
        <v>13</v>
      </c>
      <c r="G3" s="11" t="s">
        <v>17</v>
      </c>
      <c r="H3" s="11"/>
      <c r="I3" s="8"/>
    </row>
    <row r="4" spans="1:9" x14ac:dyDescent="0.25">
      <c r="I4" s="9"/>
    </row>
    <row r="5" spans="1:9" x14ac:dyDescent="0.25">
      <c r="A5" t="s">
        <v>1</v>
      </c>
      <c r="B5" s="8">
        <v>0</v>
      </c>
      <c r="C5" s="7">
        <v>32.298227861118782</v>
      </c>
      <c r="D5" s="7">
        <v>7.8569940309375434</v>
      </c>
      <c r="E5" s="7">
        <v>4.5365080714101236</v>
      </c>
      <c r="F5" s="7">
        <v>24.085233174995032</v>
      </c>
      <c r="G5" s="9">
        <f>100-((SUM(C5:F5)))</f>
        <v>31.223036861538517</v>
      </c>
      <c r="I5" s="9"/>
    </row>
    <row r="6" spans="1:9" x14ac:dyDescent="0.25">
      <c r="A6" t="s">
        <v>1</v>
      </c>
      <c r="B6" s="8">
        <v>0</v>
      </c>
      <c r="C6" s="7">
        <v>31.9882734211747</v>
      </c>
      <c r="D6" s="7">
        <v>9.1788558771084077</v>
      </c>
      <c r="E6" s="7">
        <v>3.1885480008077298</v>
      </c>
      <c r="F6" s="7">
        <v>23.805322391103299</v>
      </c>
      <c r="G6" s="9">
        <f>100-((SUM(C6:F6)))</f>
        <v>31.839000309805868</v>
      </c>
      <c r="I6" s="9"/>
    </row>
    <row r="7" spans="1:9" x14ac:dyDescent="0.25">
      <c r="A7" t="s">
        <v>1</v>
      </c>
      <c r="B7" s="8">
        <v>0</v>
      </c>
      <c r="C7" s="7">
        <v>31.522016623432535</v>
      </c>
      <c r="D7" s="7">
        <v>17.458388083092157</v>
      </c>
      <c r="E7" s="7">
        <v>4.0246948132300453</v>
      </c>
      <c r="F7" s="7">
        <v>22.767007255663074</v>
      </c>
      <c r="G7" s="9">
        <f>100-((SUM(C7:F7)))</f>
        <v>24.227893224582189</v>
      </c>
      <c r="I7" s="9"/>
    </row>
    <row r="8" spans="1:9" x14ac:dyDescent="0.25">
      <c r="I8" s="9"/>
    </row>
    <row r="9" spans="1:9" x14ac:dyDescent="0.25">
      <c r="A9" t="s">
        <v>2</v>
      </c>
      <c r="B9" s="8">
        <v>1</v>
      </c>
      <c r="C9" s="7">
        <v>32.439876828877715</v>
      </c>
      <c r="D9" s="7">
        <v>8.138715505395</v>
      </c>
      <c r="E9" s="7">
        <v>10.804603527521897</v>
      </c>
      <c r="F9" s="7">
        <v>25.394842618555927</v>
      </c>
      <c r="G9" s="9">
        <f>100-((SUM(C9:F9)))</f>
        <v>23.221961519649454</v>
      </c>
      <c r="I9" s="9"/>
    </row>
    <row r="10" spans="1:9" x14ac:dyDescent="0.25">
      <c r="A10" t="s">
        <v>2</v>
      </c>
      <c r="B10" s="8">
        <v>1</v>
      </c>
      <c r="C10" s="7">
        <v>31.861332823005377</v>
      </c>
      <c r="D10" s="7">
        <v>9.7948656946817874</v>
      </c>
      <c r="E10" s="7">
        <v>7.3925628171112319</v>
      </c>
      <c r="F10" s="7">
        <v>26.810799486708849</v>
      </c>
      <c r="G10" s="9">
        <f>100-((SUM(C10:F10)))</f>
        <v>24.140439178492755</v>
      </c>
      <c r="I10" s="9"/>
    </row>
    <row r="11" spans="1:9" x14ac:dyDescent="0.25">
      <c r="A11" t="s">
        <v>2</v>
      </c>
      <c r="B11" s="8">
        <v>1</v>
      </c>
      <c r="C11" s="7">
        <v>29.950143361921622</v>
      </c>
      <c r="D11" s="7">
        <v>6.7414989380940868</v>
      </c>
      <c r="E11" s="7">
        <v>9.697131345288998</v>
      </c>
      <c r="F11" s="7">
        <v>26.60839879291672</v>
      </c>
      <c r="G11" s="9">
        <f>100-((SUM(C11:F11)))</f>
        <v>27.002827561778574</v>
      </c>
      <c r="I11" s="9"/>
    </row>
    <row r="12" spans="1:9" x14ac:dyDescent="0.25">
      <c r="I12" s="9"/>
    </row>
    <row r="13" spans="1:9" x14ac:dyDescent="0.25">
      <c r="A13" t="s">
        <v>3</v>
      </c>
      <c r="B13" s="8">
        <v>2</v>
      </c>
      <c r="C13" s="7">
        <v>24.518904936914268</v>
      </c>
      <c r="D13" s="7">
        <v>19.601502300248562</v>
      </c>
      <c r="E13" s="7">
        <v>10.359710240329822</v>
      </c>
      <c r="F13" s="7">
        <v>21.445639196031877</v>
      </c>
      <c r="G13" s="9">
        <f>100-((SUM(C13:F13)))</f>
        <v>24.074243326475468</v>
      </c>
      <c r="I13" s="9"/>
    </row>
    <row r="14" spans="1:9" x14ac:dyDescent="0.25">
      <c r="A14" t="s">
        <v>3</v>
      </c>
      <c r="B14" s="8">
        <v>2</v>
      </c>
      <c r="C14" s="7">
        <v>23.472591934148408</v>
      </c>
      <c r="D14" s="7">
        <v>24.63506261399942</v>
      </c>
      <c r="E14" s="7">
        <v>10.516834458171735</v>
      </c>
      <c r="F14" s="7">
        <v>19.906843470819133</v>
      </c>
      <c r="G14" s="9">
        <f>100-((SUM(C14:F14)))</f>
        <v>21.468667522861296</v>
      </c>
      <c r="I14" s="9"/>
    </row>
    <row r="15" spans="1:9" x14ac:dyDescent="0.25">
      <c r="A15" t="s">
        <v>3</v>
      </c>
      <c r="B15" s="8">
        <v>2</v>
      </c>
      <c r="C15" s="7">
        <v>25.260478611312173</v>
      </c>
      <c r="D15" s="7">
        <v>19.434268510943298</v>
      </c>
      <c r="E15" s="7">
        <v>8.3573942059479549</v>
      </c>
      <c r="F15" s="7">
        <v>19.245782780160432</v>
      </c>
      <c r="G15" s="9">
        <f>100-((SUM(C15:F15)))</f>
        <v>27.702075891636142</v>
      </c>
      <c r="I15" s="9"/>
    </row>
    <row r="17" spans="1:11" x14ac:dyDescent="0.25">
      <c r="A17" t="s">
        <v>4</v>
      </c>
      <c r="B17" s="8">
        <v>3</v>
      </c>
      <c r="C17" s="7">
        <v>22.677020960046544</v>
      </c>
      <c r="D17" s="7">
        <v>17.48849265160683</v>
      </c>
      <c r="E17" s="7">
        <v>12.158452165074989</v>
      </c>
      <c r="F17" s="7">
        <v>20.789885087464839</v>
      </c>
      <c r="G17" s="9">
        <f>100-((SUM(C17:F17)))</f>
        <v>26.886149135806789</v>
      </c>
      <c r="I17" s="9"/>
      <c r="K17" s="9"/>
    </row>
    <row r="18" spans="1:11" x14ac:dyDescent="0.25">
      <c r="A18" t="s">
        <v>4</v>
      </c>
      <c r="B18" s="8">
        <v>3</v>
      </c>
      <c r="C18" s="7">
        <v>23.384593109734844</v>
      </c>
      <c r="D18" s="7">
        <v>14.049916296866559</v>
      </c>
      <c r="E18" s="7">
        <v>12.567770356813398</v>
      </c>
      <c r="F18" s="7">
        <v>20.830779668904519</v>
      </c>
      <c r="G18" s="9">
        <f>100-((SUM(C18:F18)))</f>
        <v>29.166940567680683</v>
      </c>
      <c r="I18" s="9"/>
      <c r="K18" s="9"/>
    </row>
    <row r="19" spans="1:11" x14ac:dyDescent="0.25">
      <c r="A19" t="s">
        <v>4</v>
      </c>
      <c r="B19" s="8">
        <v>3</v>
      </c>
      <c r="C19" s="7">
        <v>24.049875216878711</v>
      </c>
      <c r="D19" s="7">
        <v>13.19124467457643</v>
      </c>
      <c r="E19" s="7">
        <v>9.5371561559630766</v>
      </c>
      <c r="F19" s="7">
        <v>21.168501988877939</v>
      </c>
      <c r="G19" s="9">
        <f>100-((SUM(C19:F19)))</f>
        <v>32.053221963703848</v>
      </c>
      <c r="I19" s="9"/>
      <c r="K19" s="9"/>
    </row>
    <row r="20" spans="1:11" x14ac:dyDescent="0.25">
      <c r="I20" s="9"/>
      <c r="K20" s="9"/>
    </row>
    <row r="21" spans="1:11" x14ac:dyDescent="0.25">
      <c r="A21" t="s">
        <v>5</v>
      </c>
      <c r="B21" s="8">
        <v>4</v>
      </c>
      <c r="C21" s="7">
        <v>31.314123313447407</v>
      </c>
      <c r="D21" s="7">
        <v>14.996212058078441</v>
      </c>
      <c r="E21" s="7">
        <v>8.3834708615744074</v>
      </c>
      <c r="F21" s="7">
        <v>21.778167413744065</v>
      </c>
      <c r="G21" s="9">
        <f>100-((SUM(C21:F21)))</f>
        <v>23.528026353155667</v>
      </c>
      <c r="I21" s="9"/>
      <c r="K21" s="9"/>
    </row>
    <row r="22" spans="1:11" x14ac:dyDescent="0.25">
      <c r="A22" t="s">
        <v>5</v>
      </c>
      <c r="B22" s="8">
        <v>4</v>
      </c>
      <c r="C22" s="7">
        <v>28.651274165528747</v>
      </c>
      <c r="D22" s="7">
        <v>7.2338638974350804</v>
      </c>
      <c r="E22" s="7">
        <v>9.7204698424719336</v>
      </c>
      <c r="F22" s="7">
        <v>20.188802933108345</v>
      </c>
      <c r="G22" s="9">
        <f>100-((SUM(C22:F22)))</f>
        <v>34.20558916145589</v>
      </c>
      <c r="I22" s="9"/>
      <c r="K22" s="9"/>
    </row>
    <row r="23" spans="1:11" x14ac:dyDescent="0.25">
      <c r="A23" t="s">
        <v>5</v>
      </c>
      <c r="B23" s="8">
        <v>4</v>
      </c>
      <c r="C23" s="7">
        <v>31.000396803435077</v>
      </c>
      <c r="D23" s="7">
        <v>8.2402070567727943</v>
      </c>
      <c r="E23" s="7">
        <v>8.620967694308014</v>
      </c>
      <c r="F23" s="7">
        <v>19.649573673059162</v>
      </c>
      <c r="G23" s="9">
        <f>100-((SUM(C23:F23)))</f>
        <v>32.488854772424958</v>
      </c>
    </row>
    <row r="24" spans="1:11" x14ac:dyDescent="0.25">
      <c r="I24" s="9"/>
    </row>
    <row r="25" spans="1:11" x14ac:dyDescent="0.25">
      <c r="A25" t="s">
        <v>6</v>
      </c>
      <c r="B25" s="8">
        <v>5</v>
      </c>
      <c r="C25" s="7">
        <v>32.020045330850877</v>
      </c>
      <c r="D25" s="7">
        <v>13.563159542142506</v>
      </c>
      <c r="E25" s="7">
        <v>9.411810502258124</v>
      </c>
      <c r="F25" s="7">
        <v>18.931573606496396</v>
      </c>
      <c r="G25" s="9">
        <f>100-((SUM(C25:F25)))</f>
        <v>26.073411018252088</v>
      </c>
      <c r="I25" s="9"/>
    </row>
    <row r="26" spans="1:11" x14ac:dyDescent="0.25">
      <c r="A26" t="s">
        <v>6</v>
      </c>
      <c r="B26" s="8">
        <v>5</v>
      </c>
      <c r="C26" s="7">
        <v>33.161725303735146</v>
      </c>
      <c r="D26" s="7">
        <v>8.9117321720860403</v>
      </c>
      <c r="E26" s="7">
        <v>8.9572147931403183</v>
      </c>
      <c r="F26" s="7">
        <v>19.507704674452405</v>
      </c>
      <c r="G26" s="9">
        <f>100-((SUM(C26:F26)))</f>
        <v>29.461623056586092</v>
      </c>
      <c r="I26" s="9"/>
    </row>
    <row r="27" spans="1:11" x14ac:dyDescent="0.25">
      <c r="A27" t="s">
        <v>6</v>
      </c>
      <c r="B27" s="8">
        <v>5</v>
      </c>
      <c r="C27" s="7">
        <v>31.260408162746693</v>
      </c>
      <c r="D27" s="7">
        <v>10.621564385820042</v>
      </c>
      <c r="E27" s="7">
        <v>9.420521963608028</v>
      </c>
      <c r="F27" s="7">
        <v>20.315620205446816</v>
      </c>
      <c r="G27" s="9">
        <f>100-((SUM(C27:F27)))</f>
        <v>28.38188528237842</v>
      </c>
      <c r="I27" s="9"/>
    </row>
    <row r="28" spans="1:11" x14ac:dyDescent="0.25">
      <c r="I28" s="9"/>
    </row>
    <row r="29" spans="1:11" x14ac:dyDescent="0.25">
      <c r="A29" t="s">
        <v>7</v>
      </c>
      <c r="B29" s="8">
        <v>6</v>
      </c>
      <c r="C29" s="7">
        <v>28.145262440510347</v>
      </c>
      <c r="D29" s="7">
        <v>18.190368822795868</v>
      </c>
      <c r="E29" s="7">
        <v>16.770329385498759</v>
      </c>
      <c r="F29" s="7">
        <v>17.27304737237678</v>
      </c>
      <c r="G29" s="9">
        <f>100-((SUM(C29:F29)))</f>
        <v>19.620991978818253</v>
      </c>
      <c r="I29" s="9"/>
    </row>
    <row r="30" spans="1:11" x14ac:dyDescent="0.25">
      <c r="A30" t="s">
        <v>7</v>
      </c>
      <c r="B30" s="8">
        <v>6</v>
      </c>
      <c r="C30" s="7">
        <v>27.198512176847832</v>
      </c>
      <c r="D30" s="7">
        <v>14.454620162311741</v>
      </c>
      <c r="E30" s="7">
        <v>13.941705415181081</v>
      </c>
      <c r="F30" s="7">
        <v>16.462882545235733</v>
      </c>
      <c r="G30" s="9">
        <f>100-((SUM(C30:F30)))</f>
        <v>27.942279700423612</v>
      </c>
    </row>
    <row r="31" spans="1:11" x14ac:dyDescent="0.25">
      <c r="A31" t="s">
        <v>7</v>
      </c>
      <c r="B31" s="8">
        <v>6</v>
      </c>
      <c r="C31" s="7">
        <v>26.861413843700518</v>
      </c>
      <c r="D31" s="7">
        <v>16.232863450830095</v>
      </c>
      <c r="E31" s="7">
        <v>15.243098138626152</v>
      </c>
      <c r="F31" s="7">
        <v>16.681460622310542</v>
      </c>
      <c r="G31" s="9">
        <f>100-((SUM(C31:F31)))</f>
        <v>24.981163944532696</v>
      </c>
      <c r="I31" s="9"/>
    </row>
    <row r="32" spans="1:11" x14ac:dyDescent="0.25">
      <c r="I32" s="9"/>
    </row>
    <row r="33" spans="1:9" x14ac:dyDescent="0.25">
      <c r="A33" t="s">
        <v>8</v>
      </c>
      <c r="B33" s="8">
        <v>7</v>
      </c>
      <c r="C33" s="7">
        <v>27.992592815001228</v>
      </c>
      <c r="D33" s="7">
        <v>23.998644137903408</v>
      </c>
      <c r="E33" s="7">
        <v>8.9335609341276605</v>
      </c>
      <c r="F33" s="7">
        <v>17.181895507832209</v>
      </c>
      <c r="G33" s="9">
        <f>100-((SUM(C33:F33)))</f>
        <v>21.893306605135493</v>
      </c>
      <c r="I33" s="9"/>
    </row>
    <row r="34" spans="1:9" x14ac:dyDescent="0.25">
      <c r="A34" t="s">
        <v>8</v>
      </c>
      <c r="B34" s="8">
        <v>7</v>
      </c>
      <c r="C34" s="7">
        <v>23.674781663935857</v>
      </c>
      <c r="D34" s="7">
        <v>20.888504447497024</v>
      </c>
      <c r="E34" s="7">
        <v>14.827687440153587</v>
      </c>
      <c r="F34" s="7">
        <v>15.998139734403196</v>
      </c>
      <c r="G34" s="9">
        <f>100-((SUM(C34:F34)))</f>
        <v>24.610886714010334</v>
      </c>
      <c r="I34" s="9"/>
    </row>
    <row r="35" spans="1:9" x14ac:dyDescent="0.25">
      <c r="A35" t="s">
        <v>8</v>
      </c>
      <c r="B35" s="8">
        <v>7</v>
      </c>
      <c r="C35" s="7">
        <v>27.973257819002836</v>
      </c>
      <c r="D35" s="7">
        <v>17.70075496996515</v>
      </c>
      <c r="E35" s="7">
        <v>9.30707870296599</v>
      </c>
      <c r="F35" s="7">
        <v>17.79073698462641</v>
      </c>
      <c r="G35" s="9">
        <f>100-((SUM(C35:F35)))</f>
        <v>27.228171523439613</v>
      </c>
      <c r="I35" s="9"/>
    </row>
    <row r="36" spans="1:9" x14ac:dyDescent="0.25">
      <c r="I36" s="9"/>
    </row>
    <row r="37" spans="1:9" x14ac:dyDescent="0.25">
      <c r="A37" t="s">
        <v>9</v>
      </c>
      <c r="B37" s="8">
        <v>8</v>
      </c>
      <c r="C37" s="7">
        <v>32.253266594406547</v>
      </c>
      <c r="D37" s="7">
        <v>9.5472578554523633</v>
      </c>
      <c r="E37" s="7">
        <v>6.7251857379221249</v>
      </c>
      <c r="F37" s="7">
        <v>23.193777538388254</v>
      </c>
      <c r="G37" s="9">
        <f>100-((SUM(C37:F37)))</f>
        <v>28.280512273830709</v>
      </c>
    </row>
    <row r="38" spans="1:9" x14ac:dyDescent="0.25">
      <c r="A38" t="s">
        <v>9</v>
      </c>
      <c r="B38" s="8">
        <v>8</v>
      </c>
      <c r="C38" s="7">
        <v>30.29567215292689</v>
      </c>
      <c r="D38" s="7">
        <v>9.3046941897591271</v>
      </c>
      <c r="E38" s="7">
        <v>6.4244877001547609</v>
      </c>
      <c r="F38" s="7">
        <v>25.69842888219744</v>
      </c>
      <c r="G38" s="9">
        <f>100-((SUM(C38:F38)))</f>
        <v>28.27671707496178</v>
      </c>
    </row>
    <row r="39" spans="1:9" x14ac:dyDescent="0.25">
      <c r="A39" t="s">
        <v>9</v>
      </c>
      <c r="B39" s="8">
        <v>8</v>
      </c>
      <c r="C39" s="7">
        <v>29.752110695615006</v>
      </c>
      <c r="D39" s="7">
        <v>5.7323318873510347</v>
      </c>
      <c r="E39" s="7">
        <v>7.4405340127719217</v>
      </c>
      <c r="F39" s="7">
        <v>24.262902919088315</v>
      </c>
      <c r="G39" s="9">
        <f>100-((SUM(C39:F39)))</f>
        <v>32.812120485173722</v>
      </c>
    </row>
    <row r="41" spans="1:9" x14ac:dyDescent="0.25">
      <c r="A41" t="s">
        <v>10</v>
      </c>
      <c r="B41" s="8">
        <v>9</v>
      </c>
      <c r="C41" s="7">
        <v>30.760397757054129</v>
      </c>
      <c r="D41" s="7">
        <v>6.0350694767659228</v>
      </c>
      <c r="E41" s="7">
        <v>6.1789190964610796</v>
      </c>
      <c r="F41" s="7">
        <v>22.644038707514856</v>
      </c>
      <c r="G41" s="9">
        <f>100-((SUM(C41:F41)))</f>
        <v>34.381574962204013</v>
      </c>
    </row>
    <row r="42" spans="1:9" x14ac:dyDescent="0.25">
      <c r="A42" t="s">
        <v>10</v>
      </c>
      <c r="B42" s="8">
        <v>9</v>
      </c>
      <c r="C42" s="7">
        <v>29.225936479826888</v>
      </c>
      <c r="D42" s="7">
        <v>11.535793558439472</v>
      </c>
      <c r="E42" s="7">
        <v>7.2370866257581365</v>
      </c>
      <c r="F42" s="7">
        <v>23.901736506785511</v>
      </c>
      <c r="G42" s="9">
        <f>100-((SUM(C42:F42)))</f>
        <v>28.099446829189986</v>
      </c>
    </row>
    <row r="43" spans="1:9" x14ac:dyDescent="0.25">
      <c r="A43" t="s">
        <v>10</v>
      </c>
      <c r="B43" s="8">
        <v>9</v>
      </c>
      <c r="C43" s="7">
        <v>29.965998391774416</v>
      </c>
      <c r="D43" s="7">
        <v>8.5455722035632391</v>
      </c>
      <c r="E43" s="7">
        <v>8.1051439401243996</v>
      </c>
      <c r="F43" s="7">
        <v>26.041354182724742</v>
      </c>
      <c r="G43" s="9">
        <f>100-((SUM(C43:F43)))</f>
        <v>27.341931281813203</v>
      </c>
    </row>
    <row r="45" spans="1:9" x14ac:dyDescent="0.25">
      <c r="A45" t="s">
        <v>11</v>
      </c>
      <c r="B45" s="8">
        <v>10</v>
      </c>
      <c r="C45" s="7">
        <v>30.811944171324868</v>
      </c>
      <c r="D45" s="7">
        <v>15.636117736529773</v>
      </c>
      <c r="E45" s="7">
        <v>7.8460594365839471</v>
      </c>
      <c r="F45" s="7">
        <v>17.52223649961018</v>
      </c>
      <c r="G45" s="9">
        <f>100-((SUM(C45:F45)))</f>
        <v>28.183642155951233</v>
      </c>
    </row>
    <row r="46" spans="1:9" x14ac:dyDescent="0.25">
      <c r="A46" t="s">
        <v>11</v>
      </c>
      <c r="B46" s="8">
        <v>10</v>
      </c>
      <c r="C46" s="7">
        <v>28.236086321056689</v>
      </c>
      <c r="D46" s="7">
        <v>13.614869152406769</v>
      </c>
      <c r="E46" s="7">
        <v>8.836341251396421</v>
      </c>
      <c r="F46" s="7">
        <v>19.812691029112106</v>
      </c>
      <c r="G46" s="9">
        <f>100-((SUM(C46:F46)))</f>
        <v>29.500012246028021</v>
      </c>
    </row>
    <row r="47" spans="1:9" x14ac:dyDescent="0.25">
      <c r="A47" t="s">
        <v>11</v>
      </c>
      <c r="B47" s="8">
        <v>10</v>
      </c>
      <c r="C47" s="7">
        <v>30.441941426236617</v>
      </c>
      <c r="D47" s="7">
        <v>8.7559073097878848</v>
      </c>
      <c r="E47" s="7">
        <v>8.7085845821097561</v>
      </c>
      <c r="F47" s="7">
        <v>25.291886079520278</v>
      </c>
      <c r="G47" s="9">
        <f>100-((SUM(C47:F47)))</f>
        <v>26.801680602345456</v>
      </c>
    </row>
    <row r="58" spans="11:11" x14ac:dyDescent="0.25">
      <c r="K58" s="6"/>
    </row>
    <row r="59" spans="11:11" x14ac:dyDescent="0.25">
      <c r="K59" s="6"/>
    </row>
    <row r="60" spans="11:11" x14ac:dyDescent="0.25">
      <c r="K60" s="6"/>
    </row>
    <row r="61" spans="11:11" x14ac:dyDescent="0.25">
      <c r="K61" s="6"/>
    </row>
    <row r="62" spans="11:11" x14ac:dyDescent="0.25">
      <c r="K62" s="6"/>
    </row>
    <row r="63" spans="11:11" x14ac:dyDescent="0.25">
      <c r="K63" s="6"/>
    </row>
    <row r="64" spans="11:11" x14ac:dyDescent="0.25">
      <c r="K64" s="6"/>
    </row>
    <row r="65" spans="11:11" x14ac:dyDescent="0.25">
      <c r="K65" s="6"/>
    </row>
    <row r="66" spans="11:11" x14ac:dyDescent="0.25">
      <c r="K66" s="6"/>
    </row>
    <row r="67" spans="11:11" x14ac:dyDescent="0.25">
      <c r="K67" s="6"/>
    </row>
    <row r="68" spans="11:11" x14ac:dyDescent="0.25">
      <c r="K68" s="6"/>
    </row>
    <row r="69" spans="11:11" x14ac:dyDescent="0.25">
      <c r="K69" s="6"/>
    </row>
    <row r="70" spans="11:11" x14ac:dyDescent="0.25">
      <c r="K70" s="6"/>
    </row>
    <row r="71" spans="11:11" x14ac:dyDescent="0.25">
      <c r="K71" s="6"/>
    </row>
    <row r="72" spans="11:11" x14ac:dyDescent="0.25">
      <c r="K72" s="6"/>
    </row>
    <row r="73" spans="11:11" x14ac:dyDescent="0.25">
      <c r="K73" s="6"/>
    </row>
    <row r="74" spans="11:11" x14ac:dyDescent="0.25">
      <c r="K74" s="6"/>
    </row>
    <row r="75" spans="11:11" x14ac:dyDescent="0.25">
      <c r="K75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9C50B-C469-45E6-BACD-6F8E5769A9D0}">
  <dimension ref="A1:T1138"/>
  <sheetViews>
    <sheetView topLeftCell="A33" zoomScale="80" zoomScaleNormal="80" workbookViewId="0">
      <selection activeCell="J62" sqref="J62"/>
    </sheetView>
  </sheetViews>
  <sheetFormatPr baseColWidth="10" defaultColWidth="11.42578125" defaultRowHeight="15" x14ac:dyDescent="0.25"/>
  <cols>
    <col min="2" max="2" width="12" bestFit="1" customWidth="1"/>
    <col min="3" max="3" width="14.28515625" customWidth="1"/>
    <col min="4" max="4" width="11.5703125" bestFit="1" customWidth="1"/>
    <col min="5" max="5" width="12.28515625" bestFit="1" customWidth="1"/>
    <col min="6" max="6" width="12.85546875" bestFit="1" customWidth="1"/>
    <col min="7" max="7" width="13.140625" bestFit="1" customWidth="1"/>
    <col min="9" max="9" width="23.7109375" bestFit="1" customWidth="1"/>
  </cols>
  <sheetData>
    <row r="1" spans="1:20" ht="15.75" x14ac:dyDescent="0.25">
      <c r="A1" s="2" t="s">
        <v>40</v>
      </c>
    </row>
    <row r="3" spans="1:20" x14ac:dyDescent="0.25">
      <c r="A3" s="11" t="s">
        <v>18</v>
      </c>
      <c r="B3" s="11" t="s">
        <v>0</v>
      </c>
      <c r="C3" s="11" t="s">
        <v>12</v>
      </c>
      <c r="D3" s="11" t="s">
        <v>15</v>
      </c>
      <c r="E3" s="11" t="s">
        <v>14</v>
      </c>
      <c r="F3" s="11" t="s">
        <v>13</v>
      </c>
      <c r="G3" s="11" t="s">
        <v>17</v>
      </c>
      <c r="H3" s="13"/>
    </row>
    <row r="4" spans="1:20" x14ac:dyDescent="0.25">
      <c r="K4" s="9"/>
      <c r="L4" s="10"/>
      <c r="M4" s="10"/>
      <c r="R4" s="9"/>
      <c r="S4" s="10"/>
      <c r="T4" s="10"/>
    </row>
    <row r="5" spans="1:20" x14ac:dyDescent="0.25">
      <c r="A5" t="s">
        <v>1</v>
      </c>
      <c r="B5" s="8">
        <v>0</v>
      </c>
      <c r="C5" s="9">
        <v>42.724277530166994</v>
      </c>
      <c r="D5" s="9">
        <v>37.218748812105389</v>
      </c>
      <c r="E5" s="9">
        <v>5.8798904035482735</v>
      </c>
      <c r="F5" s="9">
        <v>3.7333780778124415</v>
      </c>
      <c r="G5" s="9">
        <f>100-((SUM(C5:F5)))</f>
        <v>10.44370517636689</v>
      </c>
      <c r="K5" s="9"/>
      <c r="R5" s="9"/>
    </row>
    <row r="6" spans="1:20" x14ac:dyDescent="0.25">
      <c r="A6" t="s">
        <v>1</v>
      </c>
      <c r="B6" s="8">
        <v>0</v>
      </c>
      <c r="C6" s="9">
        <v>43.798393023285861</v>
      </c>
      <c r="D6" s="9">
        <v>32.105928217852949</v>
      </c>
      <c r="E6" s="9">
        <v>6.6686370960876609</v>
      </c>
      <c r="F6" s="9">
        <v>4.0289775971160493</v>
      </c>
      <c r="G6" s="9">
        <f>100-((SUM(C6:F6)))</f>
        <v>13.398064065657479</v>
      </c>
      <c r="K6" s="9"/>
      <c r="R6" s="9"/>
    </row>
    <row r="7" spans="1:20" x14ac:dyDescent="0.25">
      <c r="A7" t="s">
        <v>1</v>
      </c>
      <c r="B7" s="8">
        <v>0</v>
      </c>
      <c r="C7" s="9">
        <v>43.331882423179295</v>
      </c>
      <c r="D7" s="9">
        <v>36.230920477647572</v>
      </c>
      <c r="E7" s="9">
        <v>6.4280878074885592</v>
      </c>
      <c r="F7" s="9">
        <v>4.0415712249784779</v>
      </c>
      <c r="G7" s="9">
        <f>100-((SUM(C7:F7)))</f>
        <v>9.9675380667060978</v>
      </c>
      <c r="K7" s="9"/>
      <c r="R7" s="9"/>
    </row>
    <row r="8" spans="1:20" x14ac:dyDescent="0.25">
      <c r="K8" s="9"/>
      <c r="R8" s="9"/>
    </row>
    <row r="9" spans="1:20" x14ac:dyDescent="0.25">
      <c r="A9" t="s">
        <v>2</v>
      </c>
      <c r="B9" s="8">
        <v>1</v>
      </c>
      <c r="C9" s="9">
        <v>44.599668505465921</v>
      </c>
      <c r="D9" s="9">
        <v>35.773418622197916</v>
      </c>
      <c r="E9" s="9">
        <v>5.8620705966915478</v>
      </c>
      <c r="F9" s="9">
        <v>4.1102444345604585</v>
      </c>
      <c r="G9" s="9">
        <f>100-((SUM(C9:F9)))</f>
        <v>9.6545978410841542</v>
      </c>
      <c r="K9" s="9"/>
      <c r="R9" s="9"/>
    </row>
    <row r="10" spans="1:20" x14ac:dyDescent="0.25">
      <c r="A10" t="s">
        <v>2</v>
      </c>
      <c r="B10" s="8">
        <v>1</v>
      </c>
      <c r="C10" s="9">
        <v>48.582072531448688</v>
      </c>
      <c r="D10" s="9">
        <v>33.395068094131915</v>
      </c>
      <c r="E10" s="9">
        <v>6.0099693784501067</v>
      </c>
      <c r="F10" s="9">
        <v>4.4089399446242297</v>
      </c>
      <c r="G10" s="9">
        <f>100-((SUM(C10:F10)))</f>
        <v>7.6039500513450662</v>
      </c>
      <c r="K10" s="9"/>
    </row>
    <row r="11" spans="1:20" x14ac:dyDescent="0.25">
      <c r="A11" t="s">
        <v>2</v>
      </c>
      <c r="B11" s="8">
        <v>1</v>
      </c>
      <c r="C11" s="9">
        <v>43.983095307299848</v>
      </c>
      <c r="D11" s="9">
        <v>34.501040663507268</v>
      </c>
      <c r="E11" s="9">
        <v>5.6372528994473337</v>
      </c>
      <c r="F11" s="9">
        <v>3.8830904903226551</v>
      </c>
      <c r="G11" s="9">
        <f>100-((SUM(C11:F11)))</f>
        <v>11.995520639422892</v>
      </c>
      <c r="K11" s="9"/>
      <c r="R11" s="9"/>
      <c r="S11" s="10"/>
      <c r="T11" s="10"/>
    </row>
    <row r="12" spans="1:20" x14ac:dyDescent="0.25">
      <c r="K12" s="9"/>
      <c r="R12" s="9"/>
    </row>
    <row r="13" spans="1:20" x14ac:dyDescent="0.25">
      <c r="A13" t="s">
        <v>3</v>
      </c>
      <c r="B13" s="8">
        <v>2</v>
      </c>
      <c r="C13" s="9">
        <v>43.644431480418127</v>
      </c>
      <c r="D13" s="9">
        <v>32.423159147871544</v>
      </c>
      <c r="E13" s="9">
        <v>6.0370274938731638</v>
      </c>
      <c r="F13" s="9">
        <v>4.7426431060178276</v>
      </c>
      <c r="G13" s="9">
        <f>100-((SUM(C13:F13)))</f>
        <v>13.15273877181933</v>
      </c>
      <c r="K13" s="9"/>
      <c r="R13" s="9"/>
    </row>
    <row r="14" spans="1:20" x14ac:dyDescent="0.25">
      <c r="A14" t="s">
        <v>3</v>
      </c>
      <c r="B14" s="8">
        <v>2</v>
      </c>
      <c r="C14" s="9">
        <v>45.323224804129069</v>
      </c>
      <c r="D14" s="9">
        <v>30.989301709004195</v>
      </c>
      <c r="E14" s="9">
        <v>7.4812599462939033</v>
      </c>
      <c r="F14" s="9">
        <v>4.2950301034170977</v>
      </c>
      <c r="G14" s="9">
        <f>100-((SUM(C14:F14)))</f>
        <v>11.911183437155728</v>
      </c>
      <c r="K14" s="9"/>
      <c r="R14" s="9"/>
    </row>
    <row r="15" spans="1:20" x14ac:dyDescent="0.25">
      <c r="A15" t="s">
        <v>3</v>
      </c>
      <c r="B15" s="8">
        <v>2</v>
      </c>
      <c r="C15" s="9">
        <v>42.433895860901849</v>
      </c>
      <c r="D15" s="9">
        <v>30.848557757974767</v>
      </c>
      <c r="E15" s="9">
        <v>7.1335681172784211</v>
      </c>
      <c r="F15" s="9">
        <v>4.1853961879715404</v>
      </c>
      <c r="G15" s="9">
        <f>100-((SUM(C15:F15)))</f>
        <v>15.398582075873435</v>
      </c>
      <c r="K15" s="9"/>
      <c r="R15" s="9"/>
    </row>
    <row r="16" spans="1:20" x14ac:dyDescent="0.25">
      <c r="R16" s="9"/>
    </row>
    <row r="17" spans="1:20" x14ac:dyDescent="0.25">
      <c r="A17" t="s">
        <v>4</v>
      </c>
      <c r="B17" s="8">
        <v>3</v>
      </c>
      <c r="C17" s="9">
        <v>43.135941192327159</v>
      </c>
      <c r="D17" s="9">
        <v>34.181332331081443</v>
      </c>
      <c r="E17" s="9">
        <v>6.3110171468689638</v>
      </c>
      <c r="F17" s="9">
        <v>3.9342717069238016</v>
      </c>
      <c r="G17" s="9">
        <f>100-((SUM(C17:F17)))</f>
        <v>12.43743762279864</v>
      </c>
      <c r="K17" s="9"/>
      <c r="L17" s="10"/>
      <c r="M17" s="10"/>
    </row>
    <row r="18" spans="1:20" x14ac:dyDescent="0.25">
      <c r="A18" t="s">
        <v>4</v>
      </c>
      <c r="B18" s="8">
        <v>3</v>
      </c>
      <c r="C18" s="9">
        <v>44.684326004932402</v>
      </c>
      <c r="D18" s="9">
        <v>32.938681139309004</v>
      </c>
      <c r="E18" s="9">
        <v>6.1683512285453359</v>
      </c>
      <c r="F18" s="9">
        <v>4.4225409421472621</v>
      </c>
      <c r="G18" s="9">
        <f>100-((SUM(C18:F18)))</f>
        <v>11.786100685066003</v>
      </c>
      <c r="K18" s="9"/>
      <c r="R18" s="9"/>
      <c r="S18" s="10"/>
      <c r="T18" s="10"/>
    </row>
    <row r="19" spans="1:20" x14ac:dyDescent="0.25">
      <c r="A19" t="s">
        <v>4</v>
      </c>
      <c r="B19" s="8">
        <v>3</v>
      </c>
      <c r="C19" s="9">
        <v>42.989985228223965</v>
      </c>
      <c r="D19" s="9">
        <v>30.838257717370372</v>
      </c>
      <c r="E19" s="9">
        <v>6.4980801744831735</v>
      </c>
      <c r="F19" s="9">
        <v>4.150126075016483</v>
      </c>
      <c r="G19" s="9">
        <f>100-((SUM(C19:F19)))</f>
        <v>15.523550804905994</v>
      </c>
      <c r="K19" s="9"/>
      <c r="R19" s="9"/>
    </row>
    <row r="20" spans="1:20" x14ac:dyDescent="0.25">
      <c r="K20" s="9"/>
      <c r="R20" s="9"/>
    </row>
    <row r="21" spans="1:20" x14ac:dyDescent="0.25">
      <c r="A21" t="s">
        <v>5</v>
      </c>
      <c r="B21" s="8">
        <v>4</v>
      </c>
      <c r="C21" s="9">
        <v>44.056321364286632</v>
      </c>
      <c r="D21" s="9">
        <v>32.534265214321422</v>
      </c>
      <c r="E21" s="9">
        <v>6.9922113024414978</v>
      </c>
      <c r="F21" s="9">
        <v>4.133463033246155</v>
      </c>
      <c r="G21" s="9">
        <f>100-((SUM(C21:F21)))</f>
        <v>12.283739085704283</v>
      </c>
      <c r="K21" s="9"/>
      <c r="R21" s="9"/>
    </row>
    <row r="22" spans="1:20" x14ac:dyDescent="0.25">
      <c r="A22" t="s">
        <v>5</v>
      </c>
      <c r="B22" s="8">
        <v>4</v>
      </c>
      <c r="C22" s="9">
        <v>47.979408918219136</v>
      </c>
      <c r="D22" s="9">
        <v>24.120122407459732</v>
      </c>
      <c r="E22" s="9">
        <v>7.8460780908566639</v>
      </c>
      <c r="F22" s="9">
        <v>4.5837519356388015</v>
      </c>
      <c r="G22" s="9">
        <f>100-((SUM(C22:F22)))</f>
        <v>15.470638647825666</v>
      </c>
      <c r="K22" s="9"/>
      <c r="R22" s="9"/>
    </row>
    <row r="23" spans="1:20" x14ac:dyDescent="0.25">
      <c r="A23" t="s">
        <v>5</v>
      </c>
      <c r="B23" s="8">
        <v>4</v>
      </c>
      <c r="C23" s="9">
        <v>47.503138233034768</v>
      </c>
      <c r="D23" s="9">
        <v>27.322393820720269</v>
      </c>
      <c r="E23" s="9">
        <v>6.0475494827098544</v>
      </c>
      <c r="F23" s="9">
        <v>4.1449752235759485</v>
      </c>
      <c r="G23" s="9">
        <f>100-((SUM(C23:F23)))</f>
        <v>14.981943239959151</v>
      </c>
      <c r="R23" s="9"/>
    </row>
    <row r="24" spans="1:20" x14ac:dyDescent="0.25">
      <c r="K24" s="9"/>
      <c r="L24" s="10"/>
      <c r="M24" s="10"/>
    </row>
    <row r="25" spans="1:20" x14ac:dyDescent="0.25">
      <c r="A25" t="s">
        <v>6</v>
      </c>
      <c r="B25" s="8">
        <v>5</v>
      </c>
      <c r="C25" s="9">
        <v>46.606151507451081</v>
      </c>
      <c r="D25" s="9">
        <v>29.508676757486988</v>
      </c>
      <c r="E25" s="9">
        <v>6.8838781249574623</v>
      </c>
      <c r="F25" s="9">
        <v>4.4027522308457536</v>
      </c>
      <c r="G25" s="9">
        <f>100-((SUM(C25:F25)))</f>
        <v>12.59854137925872</v>
      </c>
      <c r="K25" s="9"/>
      <c r="R25" s="9"/>
      <c r="S25" s="10"/>
      <c r="T25" s="10"/>
    </row>
    <row r="26" spans="1:20" x14ac:dyDescent="0.25">
      <c r="A26" t="s">
        <v>6</v>
      </c>
      <c r="B26" s="8">
        <v>5</v>
      </c>
      <c r="C26" s="9">
        <v>47.611684468964157</v>
      </c>
      <c r="D26" s="9">
        <v>27.051914450448447</v>
      </c>
      <c r="E26" s="9">
        <v>7.1484265062617558</v>
      </c>
      <c r="F26" s="9">
        <v>4.1507589105647744</v>
      </c>
      <c r="G26" s="9">
        <f>100-((SUM(C26:F26)))</f>
        <v>14.037215663760861</v>
      </c>
      <c r="K26" s="9"/>
      <c r="R26" s="9"/>
    </row>
    <row r="27" spans="1:20" x14ac:dyDescent="0.25">
      <c r="A27" t="s">
        <v>6</v>
      </c>
      <c r="B27" s="8">
        <v>5</v>
      </c>
      <c r="C27" s="9">
        <v>47.142744096302629</v>
      </c>
      <c r="D27" s="9">
        <v>27.92738392652484</v>
      </c>
      <c r="E27" s="9">
        <v>10.116941650332688</v>
      </c>
      <c r="F27" s="9">
        <v>4.3806978096361782</v>
      </c>
      <c r="G27" s="9">
        <f>100-((SUM(C27:F27)))</f>
        <v>10.432232517203659</v>
      </c>
      <c r="K27" s="9"/>
      <c r="R27" s="9"/>
    </row>
    <row r="28" spans="1:20" x14ac:dyDescent="0.25">
      <c r="K28" s="9"/>
      <c r="R28" s="9"/>
    </row>
    <row r="29" spans="1:20" x14ac:dyDescent="0.25">
      <c r="A29" t="s">
        <v>7</v>
      </c>
      <c r="B29" s="8">
        <v>6</v>
      </c>
      <c r="C29" s="9">
        <v>42.989125105205865</v>
      </c>
      <c r="D29" s="9">
        <v>33.996392972297713</v>
      </c>
      <c r="E29" s="9">
        <v>8.500363988375387</v>
      </c>
      <c r="F29" s="9">
        <v>4.0122781945999186</v>
      </c>
      <c r="G29" s="9">
        <f>100-((SUM(C29:F29)))</f>
        <v>10.501839739521131</v>
      </c>
      <c r="K29" s="9"/>
      <c r="R29" s="9"/>
    </row>
    <row r="30" spans="1:20" x14ac:dyDescent="0.25">
      <c r="A30" t="s">
        <v>7</v>
      </c>
      <c r="B30" s="8">
        <v>6</v>
      </c>
      <c r="C30" s="9">
        <v>42.373180586566839</v>
      </c>
      <c r="D30" s="9">
        <v>34.446769066131388</v>
      </c>
      <c r="E30" s="9">
        <v>6.5550863635573426</v>
      </c>
      <c r="F30" s="9">
        <v>3.8440833067265294</v>
      </c>
      <c r="G30" s="9">
        <f>100-((SUM(C30:F30)))</f>
        <v>12.780880677017905</v>
      </c>
      <c r="R30" s="9"/>
    </row>
    <row r="31" spans="1:20" x14ac:dyDescent="0.25">
      <c r="A31" t="s">
        <v>7</v>
      </c>
      <c r="B31" s="8">
        <v>6</v>
      </c>
      <c r="C31" s="9">
        <v>42.75088782983994</v>
      </c>
      <c r="D31" s="9">
        <v>34.087310592095733</v>
      </c>
      <c r="E31" s="9">
        <v>5.9495046611611251</v>
      </c>
      <c r="F31" s="9">
        <v>4.1240077288078911</v>
      </c>
      <c r="G31" s="9">
        <f>100-((SUM(C31:F31)))</f>
        <v>13.088289188095303</v>
      </c>
      <c r="K31" s="9"/>
      <c r="L31" s="10"/>
      <c r="M31" s="10"/>
      <c r="R31" s="8"/>
    </row>
    <row r="32" spans="1:20" x14ac:dyDescent="0.25">
      <c r="K32" s="9"/>
      <c r="R32" s="9"/>
      <c r="S32" s="10"/>
      <c r="T32" s="10"/>
    </row>
    <row r="33" spans="1:20" x14ac:dyDescent="0.25">
      <c r="A33" t="s">
        <v>8</v>
      </c>
      <c r="B33" s="8">
        <v>7</v>
      </c>
      <c r="C33" s="9">
        <v>42.634554626873772</v>
      </c>
      <c r="D33" s="9">
        <v>32.956875767682824</v>
      </c>
      <c r="E33" s="9">
        <v>8.8077513462091872</v>
      </c>
      <c r="F33" s="9">
        <v>4.1916509428664241</v>
      </c>
      <c r="G33" s="9">
        <f>100-((SUM(C33:F33)))</f>
        <v>11.409167316367785</v>
      </c>
      <c r="K33" s="9"/>
      <c r="R33" s="9"/>
    </row>
    <row r="34" spans="1:20" x14ac:dyDescent="0.25">
      <c r="A34" t="s">
        <v>8</v>
      </c>
      <c r="B34" s="8">
        <v>7</v>
      </c>
      <c r="C34" s="9">
        <v>39.460902260956324</v>
      </c>
      <c r="D34" s="9">
        <v>36.753619334912479</v>
      </c>
      <c r="E34" s="9">
        <v>6.0904759142165377</v>
      </c>
      <c r="F34" s="9">
        <v>3.8532892046135045</v>
      </c>
      <c r="G34" s="9">
        <f>100-((SUM(C34:F34)))</f>
        <v>13.841713285301154</v>
      </c>
      <c r="K34" s="9"/>
      <c r="R34" s="9"/>
    </row>
    <row r="35" spans="1:20" x14ac:dyDescent="0.25">
      <c r="A35" t="s">
        <v>8</v>
      </c>
      <c r="B35" s="8">
        <v>7</v>
      </c>
      <c r="C35" s="9">
        <v>40.31920976729068</v>
      </c>
      <c r="D35" s="9">
        <v>38.162749725991816</v>
      </c>
      <c r="E35" s="9">
        <v>7.0538069562326706</v>
      </c>
      <c r="F35" s="9">
        <v>4.1795156034431589</v>
      </c>
      <c r="G35" s="9">
        <f>100-((SUM(C35:F35)))</f>
        <v>10.284717947041671</v>
      </c>
      <c r="K35" s="9"/>
      <c r="R35" s="9"/>
    </row>
    <row r="36" spans="1:20" x14ac:dyDescent="0.25">
      <c r="K36" s="9"/>
      <c r="R36" s="9"/>
    </row>
    <row r="37" spans="1:20" x14ac:dyDescent="0.25">
      <c r="A37" t="s">
        <v>9</v>
      </c>
      <c r="B37" s="8">
        <v>8</v>
      </c>
      <c r="C37" s="9">
        <v>46.240655101210201</v>
      </c>
      <c r="D37" s="9">
        <v>32.698817618467018</v>
      </c>
      <c r="E37" s="9">
        <v>5.7687203256426853</v>
      </c>
      <c r="F37" s="9">
        <v>3.8003472621714569</v>
      </c>
      <c r="G37" s="9">
        <f>100-((SUM(C37:F37)))</f>
        <v>11.491459692508641</v>
      </c>
      <c r="R37" s="9"/>
    </row>
    <row r="38" spans="1:20" x14ac:dyDescent="0.25">
      <c r="A38" t="s">
        <v>9</v>
      </c>
      <c r="B38" s="8">
        <v>8</v>
      </c>
      <c r="C38" s="9">
        <v>49.741656074108121</v>
      </c>
      <c r="D38" s="9">
        <v>30.635575913842452</v>
      </c>
      <c r="E38" s="9">
        <v>7.3146517574442598</v>
      </c>
      <c r="F38" s="9">
        <v>4.1887923497634505</v>
      </c>
      <c r="G38" s="9">
        <f>100-((SUM(C38:F38)))</f>
        <v>8.119323904841707</v>
      </c>
      <c r="K38" s="9"/>
      <c r="L38" s="10"/>
      <c r="M38" s="10"/>
    </row>
    <row r="39" spans="1:20" x14ac:dyDescent="0.25">
      <c r="A39" t="s">
        <v>9</v>
      </c>
      <c r="B39" s="8">
        <v>8</v>
      </c>
      <c r="C39" s="9">
        <v>49.053685705912699</v>
      </c>
      <c r="D39" s="9">
        <v>29.099518279375918</v>
      </c>
      <c r="E39" s="9">
        <v>10.442533313061864</v>
      </c>
      <c r="F39" s="9">
        <v>3.9243865188709446</v>
      </c>
      <c r="G39" s="9">
        <f>100-((SUM(C39:F39)))</f>
        <v>7.4798761827785825</v>
      </c>
      <c r="K39" s="9"/>
      <c r="R39" s="9"/>
      <c r="S39" s="10"/>
      <c r="T39" s="10"/>
    </row>
    <row r="40" spans="1:20" x14ac:dyDescent="0.25">
      <c r="K40" s="9"/>
      <c r="R40" s="9"/>
    </row>
    <row r="41" spans="1:20" x14ac:dyDescent="0.25">
      <c r="A41" t="s">
        <v>10</v>
      </c>
      <c r="B41" s="8">
        <v>9</v>
      </c>
      <c r="C41" s="9">
        <v>47.168164218521497</v>
      </c>
      <c r="D41" s="9">
        <v>33.203912784251479</v>
      </c>
      <c r="E41" s="9">
        <v>9.3191711062625995</v>
      </c>
      <c r="F41" s="9">
        <v>3.8880586921078342</v>
      </c>
      <c r="G41" s="9">
        <f>100-((SUM(C41:F41)))</f>
        <v>6.4206931988565827</v>
      </c>
      <c r="K41" s="9"/>
      <c r="R41" s="9"/>
    </row>
    <row r="42" spans="1:20" x14ac:dyDescent="0.25">
      <c r="A42" t="s">
        <v>10</v>
      </c>
      <c r="B42" s="8">
        <v>9</v>
      </c>
      <c r="C42" s="9">
        <v>45.280742752355991</v>
      </c>
      <c r="D42" s="9">
        <v>32.784256944870492</v>
      </c>
      <c r="E42" s="9">
        <v>8.866924121950758</v>
      </c>
      <c r="F42" s="9">
        <v>3.6295209913531679</v>
      </c>
      <c r="G42" s="9">
        <f>100-((SUM(C42:F42)))</f>
        <v>9.4385551894695823</v>
      </c>
      <c r="K42" s="9"/>
      <c r="R42" s="9"/>
    </row>
    <row r="43" spans="1:20" x14ac:dyDescent="0.25">
      <c r="A43" t="s">
        <v>10</v>
      </c>
      <c r="B43" s="8">
        <v>9</v>
      </c>
      <c r="C43" s="9">
        <v>47.274881153504772</v>
      </c>
      <c r="D43" s="9">
        <v>29.226915285368946</v>
      </c>
      <c r="E43" s="9">
        <v>7.4361743376136369</v>
      </c>
      <c r="F43" s="9">
        <v>4.2470437492421986</v>
      </c>
      <c r="G43" s="9">
        <f>100-((SUM(C43:F43)))</f>
        <v>11.814985474270443</v>
      </c>
      <c r="K43" s="9"/>
      <c r="R43" s="9"/>
    </row>
    <row r="44" spans="1:20" x14ac:dyDescent="0.25">
      <c r="R44" s="9"/>
    </row>
    <row r="45" spans="1:20" x14ac:dyDescent="0.25">
      <c r="A45" t="s">
        <v>11</v>
      </c>
      <c r="B45" s="8">
        <v>10</v>
      </c>
      <c r="C45" s="9">
        <v>46.390789754574797</v>
      </c>
      <c r="D45" s="9">
        <v>31.275974631820496</v>
      </c>
      <c r="E45" s="9">
        <v>7.0731527254792681</v>
      </c>
      <c r="F45" s="9">
        <v>3.9162862247708317</v>
      </c>
      <c r="G45" s="9">
        <f>100-((SUM(C45:F45)))</f>
        <v>11.343796663354595</v>
      </c>
    </row>
    <row r="46" spans="1:20" x14ac:dyDescent="0.25">
      <c r="A46" t="s">
        <v>11</v>
      </c>
      <c r="B46" s="8">
        <v>10</v>
      </c>
      <c r="C46" s="9">
        <v>46.509235603005465</v>
      </c>
      <c r="D46" s="9">
        <v>29.92601819942621</v>
      </c>
      <c r="E46" s="9">
        <v>9.0734978481691311</v>
      </c>
      <c r="F46" s="9">
        <v>3.938829502556922</v>
      </c>
      <c r="G46" s="9">
        <f>100-((SUM(C46:F46)))</f>
        <v>10.552418846842272</v>
      </c>
    </row>
    <row r="47" spans="1:20" x14ac:dyDescent="0.25">
      <c r="A47" t="s">
        <v>11</v>
      </c>
      <c r="B47" s="8">
        <v>10</v>
      </c>
      <c r="C47" s="9">
        <v>47.257243380223763</v>
      </c>
      <c r="D47" s="9">
        <v>28.079591310811654</v>
      </c>
      <c r="E47" s="9">
        <v>9.5612026609077709</v>
      </c>
      <c r="F47" s="9">
        <v>4.1181861136499727</v>
      </c>
      <c r="G47" s="9">
        <f>100-((SUM(C47:F47)))</f>
        <v>10.983776534406843</v>
      </c>
    </row>
    <row r="50" spans="1:10" x14ac:dyDescent="0.25">
      <c r="A50" s="11" t="s">
        <v>18</v>
      </c>
      <c r="B50" s="11" t="s">
        <v>0</v>
      </c>
      <c r="C50" s="11" t="s">
        <v>12</v>
      </c>
      <c r="D50" s="11" t="s">
        <v>15</v>
      </c>
      <c r="E50" s="11" t="s">
        <v>14</v>
      </c>
      <c r="F50" s="11" t="s">
        <v>13</v>
      </c>
      <c r="G50" s="11" t="s">
        <v>17</v>
      </c>
    </row>
    <row r="52" spans="1:10" x14ac:dyDescent="0.25">
      <c r="A52" s="21" t="s">
        <v>54</v>
      </c>
      <c r="B52" s="20"/>
      <c r="C52" s="28">
        <v>41.954999999999998</v>
      </c>
      <c r="D52" s="28">
        <v>32.92</v>
      </c>
      <c r="E52" s="29"/>
      <c r="F52" s="28">
        <v>3.6067999999999998</v>
      </c>
    </row>
    <row r="53" spans="1:10" x14ac:dyDescent="0.25">
      <c r="A53" s="21" t="s">
        <v>54</v>
      </c>
      <c r="B53" s="20"/>
      <c r="C53" s="28">
        <v>41.63</v>
      </c>
      <c r="D53" s="28">
        <v>32.85</v>
      </c>
      <c r="E53" s="29"/>
      <c r="F53" s="28">
        <v>3.6113</v>
      </c>
    </row>
    <row r="54" spans="1:10" x14ac:dyDescent="0.25">
      <c r="A54" s="21" t="s">
        <v>54</v>
      </c>
      <c r="B54" s="20"/>
      <c r="C54" s="28">
        <v>42.527999999999999</v>
      </c>
      <c r="D54" s="28">
        <v>29.3</v>
      </c>
      <c r="E54" s="29"/>
      <c r="F54" s="28">
        <v>3.5604</v>
      </c>
    </row>
    <row r="55" spans="1:10" x14ac:dyDescent="0.25">
      <c r="A55" s="20"/>
      <c r="B55" s="20"/>
      <c r="C55" s="29"/>
      <c r="D55" s="29"/>
      <c r="E55" s="29"/>
      <c r="F55" s="29"/>
    </row>
    <row r="56" spans="1:10" x14ac:dyDescent="0.25">
      <c r="A56" s="21" t="s">
        <v>58</v>
      </c>
      <c r="B56" s="20"/>
      <c r="C56" s="28">
        <v>36.030999999999999</v>
      </c>
      <c r="D56" s="28">
        <v>36.880000000000003</v>
      </c>
      <c r="E56" s="29"/>
      <c r="F56" s="28">
        <v>3.4367000000000001</v>
      </c>
    </row>
    <row r="57" spans="1:10" x14ac:dyDescent="0.25">
      <c r="A57" s="21" t="s">
        <v>58</v>
      </c>
      <c r="B57" s="20"/>
      <c r="C57" s="28">
        <v>36.036000000000001</v>
      </c>
      <c r="D57" s="28">
        <v>35.659999999999997</v>
      </c>
      <c r="E57" s="29"/>
      <c r="F57" s="28">
        <v>3.4697</v>
      </c>
    </row>
    <row r="58" spans="1:10" x14ac:dyDescent="0.25">
      <c r="A58" s="21" t="s">
        <v>58</v>
      </c>
      <c r="B58" s="20"/>
      <c r="C58" s="28">
        <v>36.738999999999997</v>
      </c>
      <c r="D58" s="28">
        <v>36.020000000000003</v>
      </c>
      <c r="E58" s="29"/>
      <c r="F58" s="28">
        <v>3.39</v>
      </c>
    </row>
    <row r="59" spans="1:10" x14ac:dyDescent="0.25">
      <c r="A59" s="20"/>
      <c r="B59" s="20"/>
      <c r="C59" s="29"/>
      <c r="D59" s="29"/>
      <c r="E59" s="29"/>
      <c r="F59" s="29"/>
    </row>
    <row r="60" spans="1:10" x14ac:dyDescent="0.25">
      <c r="A60" s="27" t="s">
        <v>59</v>
      </c>
      <c r="B60" s="20"/>
      <c r="C60" s="28">
        <v>39.017000000000003</v>
      </c>
      <c r="D60" s="28">
        <v>36.979999999999997</v>
      </c>
      <c r="E60" s="29"/>
      <c r="F60" s="28">
        <v>3.3523000000000001</v>
      </c>
    </row>
    <row r="61" spans="1:10" x14ac:dyDescent="0.25">
      <c r="A61" s="27" t="s">
        <v>59</v>
      </c>
      <c r="B61" s="20"/>
      <c r="C61" s="28">
        <v>38.167999999999999</v>
      </c>
      <c r="D61" s="28">
        <v>37.729999999999997</v>
      </c>
      <c r="E61" s="29"/>
      <c r="F61" s="28">
        <v>3.4177</v>
      </c>
    </row>
    <row r="62" spans="1:10" x14ac:dyDescent="0.25">
      <c r="A62" s="27" t="s">
        <v>59</v>
      </c>
      <c r="B62" s="20"/>
      <c r="C62" s="28">
        <v>40.380000000000003</v>
      </c>
      <c r="D62" s="28">
        <v>37.69</v>
      </c>
      <c r="E62" s="29"/>
      <c r="F62" s="28">
        <v>3.3639999999999999</v>
      </c>
    </row>
    <row r="63" spans="1:10" x14ac:dyDescent="0.25">
      <c r="A63" s="20"/>
      <c r="B63" s="20"/>
      <c r="C63" s="29"/>
      <c r="D63" s="29"/>
      <c r="E63" s="29"/>
      <c r="F63" s="29"/>
      <c r="G63" s="20"/>
    </row>
    <row r="64" spans="1:10" x14ac:dyDescent="0.25">
      <c r="A64" s="26" t="s">
        <v>50</v>
      </c>
      <c r="B64" s="20"/>
      <c r="C64" s="28">
        <v>48.241</v>
      </c>
      <c r="D64" s="28">
        <v>20.13</v>
      </c>
      <c r="E64" s="29"/>
      <c r="F64" s="28">
        <v>5.2175000000000002</v>
      </c>
      <c r="I64" s="21"/>
      <c r="J64" s="20"/>
    </row>
    <row r="65" spans="1:10" x14ac:dyDescent="0.25">
      <c r="A65" s="26" t="s">
        <v>50</v>
      </c>
      <c r="B65" s="20"/>
      <c r="C65" s="28">
        <v>53.591000000000001</v>
      </c>
      <c r="D65" s="28">
        <v>19.829999999999998</v>
      </c>
      <c r="E65" s="29"/>
      <c r="F65" s="28">
        <v>5.1365999999999996</v>
      </c>
      <c r="I65" s="21"/>
      <c r="J65" s="20"/>
    </row>
    <row r="66" spans="1:10" x14ac:dyDescent="0.25">
      <c r="A66" s="26" t="s">
        <v>50</v>
      </c>
      <c r="B66" s="20"/>
      <c r="C66" s="29"/>
      <c r="D66" s="29"/>
      <c r="E66" s="29"/>
      <c r="F66" s="29"/>
      <c r="I66" s="21"/>
      <c r="J66" s="20"/>
    </row>
    <row r="67" spans="1:10" x14ac:dyDescent="0.25">
      <c r="A67" s="20"/>
      <c r="B67" s="20"/>
      <c r="C67" s="29"/>
      <c r="D67" s="29"/>
      <c r="E67" s="29"/>
      <c r="F67" s="29"/>
      <c r="G67" s="21"/>
    </row>
    <row r="68" spans="1:10" x14ac:dyDescent="0.25">
      <c r="A68" s="27" t="s">
        <v>51</v>
      </c>
      <c r="C68" s="28">
        <v>39.947000000000003</v>
      </c>
      <c r="D68" s="28">
        <v>11.53</v>
      </c>
      <c r="E68" s="29"/>
      <c r="F68" s="28">
        <v>3.8289</v>
      </c>
    </row>
    <row r="69" spans="1:10" x14ac:dyDescent="0.25">
      <c r="A69" s="27" t="s">
        <v>51</v>
      </c>
      <c r="C69" s="28">
        <v>40.029000000000003</v>
      </c>
      <c r="D69" s="28">
        <v>11.31</v>
      </c>
      <c r="E69" s="29"/>
      <c r="F69" s="28">
        <v>3.7065999999999999</v>
      </c>
    </row>
    <row r="70" spans="1:10" x14ac:dyDescent="0.25">
      <c r="A70" s="27" t="s">
        <v>51</v>
      </c>
      <c r="C70" s="28">
        <v>41.689</v>
      </c>
      <c r="D70" s="28">
        <v>11.45</v>
      </c>
      <c r="E70" s="29"/>
      <c r="F70" s="28">
        <v>3.7557999999999998</v>
      </c>
    </row>
    <row r="71" spans="1:10" x14ac:dyDescent="0.25">
      <c r="A71" s="20"/>
      <c r="B71" s="20"/>
      <c r="C71" s="29"/>
      <c r="D71" s="29"/>
      <c r="E71" s="29"/>
      <c r="F71" s="29"/>
      <c r="G71" s="21"/>
    </row>
    <row r="72" spans="1:10" x14ac:dyDescent="0.25">
      <c r="A72" s="21" t="s">
        <v>43</v>
      </c>
      <c r="B72" s="20"/>
      <c r="C72" s="28">
        <v>35.057000000000002</v>
      </c>
      <c r="D72" s="28">
        <v>37.39</v>
      </c>
      <c r="E72" s="29"/>
      <c r="F72" s="28">
        <v>3.4047999999999998</v>
      </c>
      <c r="G72" s="21"/>
    </row>
    <row r="73" spans="1:10" x14ac:dyDescent="0.25">
      <c r="A73" s="21" t="s">
        <v>43</v>
      </c>
      <c r="B73" s="20"/>
      <c r="C73" s="28">
        <v>35.084000000000003</v>
      </c>
      <c r="D73" s="28">
        <v>38.950000000000003</v>
      </c>
      <c r="E73" s="29"/>
      <c r="F73" s="28">
        <v>3.4592999999999998</v>
      </c>
      <c r="G73" s="21"/>
    </row>
    <row r="74" spans="1:10" x14ac:dyDescent="0.25">
      <c r="A74" s="21" t="s">
        <v>43</v>
      </c>
      <c r="B74" s="20"/>
      <c r="C74" s="28">
        <v>36.170999999999999</v>
      </c>
      <c r="D74" s="28">
        <v>37.979999999999997</v>
      </c>
      <c r="E74" s="29"/>
      <c r="F74" s="28">
        <v>3.5190000000000001</v>
      </c>
      <c r="G74" s="21"/>
    </row>
    <row r="75" spans="1:10" x14ac:dyDescent="0.25">
      <c r="A75" s="20"/>
      <c r="B75" s="20"/>
      <c r="C75" s="29"/>
      <c r="D75" s="29"/>
      <c r="E75" s="29"/>
      <c r="F75" s="29"/>
      <c r="G75" s="26"/>
    </row>
    <row r="76" spans="1:10" x14ac:dyDescent="0.25">
      <c r="A76" s="21" t="s">
        <v>44</v>
      </c>
      <c r="B76" s="20"/>
      <c r="C76" s="28">
        <v>33.932000000000002</v>
      </c>
      <c r="D76" s="28">
        <v>41.32</v>
      </c>
      <c r="E76" s="29"/>
      <c r="F76" s="28">
        <v>3.6183000000000001</v>
      </c>
      <c r="G76" s="21"/>
      <c r="I76" t="s">
        <v>16</v>
      </c>
    </row>
    <row r="77" spans="1:10" x14ac:dyDescent="0.25">
      <c r="A77" s="21" t="s">
        <v>44</v>
      </c>
      <c r="B77" s="20"/>
      <c r="C77" s="28">
        <v>33.19</v>
      </c>
      <c r="D77" s="28">
        <v>41.66</v>
      </c>
      <c r="E77" s="29"/>
      <c r="F77" s="28">
        <v>3.4819</v>
      </c>
      <c r="G77" s="21"/>
      <c r="I77" t="s">
        <v>16</v>
      </c>
    </row>
    <row r="78" spans="1:10" x14ac:dyDescent="0.25">
      <c r="A78" s="21" t="s">
        <v>44</v>
      </c>
      <c r="B78" s="20"/>
      <c r="C78" s="28">
        <v>32.491999999999997</v>
      </c>
      <c r="D78" s="28">
        <v>42.02</v>
      </c>
      <c r="E78" s="29"/>
      <c r="F78" s="28">
        <v>3.4893999999999998</v>
      </c>
      <c r="G78" s="21"/>
      <c r="I78" t="s">
        <v>16</v>
      </c>
    </row>
    <row r="79" spans="1:10" x14ac:dyDescent="0.25">
      <c r="A79" s="20"/>
      <c r="B79" s="20"/>
      <c r="C79" s="29"/>
      <c r="D79" s="29"/>
      <c r="E79" s="29"/>
      <c r="F79" s="29"/>
      <c r="G79" s="26"/>
      <c r="I79" t="s">
        <v>16</v>
      </c>
    </row>
    <row r="80" spans="1:10" x14ac:dyDescent="0.25">
      <c r="A80" s="21" t="s">
        <v>45</v>
      </c>
      <c r="B80" s="20"/>
      <c r="C80" s="28">
        <v>32.866</v>
      </c>
      <c r="D80" s="28">
        <v>48.28</v>
      </c>
      <c r="E80" s="29"/>
      <c r="F80" s="28">
        <v>3.5825</v>
      </c>
      <c r="G80" s="21"/>
      <c r="I80" t="s">
        <v>16</v>
      </c>
    </row>
    <row r="81" spans="1:9" x14ac:dyDescent="0.25">
      <c r="A81" s="21" t="s">
        <v>45</v>
      </c>
      <c r="B81" s="20"/>
      <c r="C81" s="28">
        <v>32.238</v>
      </c>
      <c r="D81" s="28">
        <v>44.56</v>
      </c>
      <c r="E81" s="29"/>
      <c r="F81" s="28">
        <v>3.548</v>
      </c>
      <c r="G81" s="21"/>
      <c r="I81" t="s">
        <v>16</v>
      </c>
    </row>
    <row r="82" spans="1:9" x14ac:dyDescent="0.25">
      <c r="A82" s="21" t="s">
        <v>45</v>
      </c>
      <c r="B82" s="20"/>
      <c r="C82" s="28">
        <v>32.491999999999997</v>
      </c>
      <c r="D82" s="28">
        <v>44.41</v>
      </c>
      <c r="E82" s="29"/>
      <c r="F82" s="28">
        <v>3.4942000000000002</v>
      </c>
      <c r="G82" s="21"/>
      <c r="I82" t="s">
        <v>16</v>
      </c>
    </row>
    <row r="83" spans="1:9" x14ac:dyDescent="0.25">
      <c r="G83" s="20"/>
      <c r="I83" t="s">
        <v>16</v>
      </c>
    </row>
    <row r="84" spans="1:9" x14ac:dyDescent="0.25">
      <c r="G84" s="20"/>
      <c r="I84" t="s">
        <v>16</v>
      </c>
    </row>
    <row r="85" spans="1:9" x14ac:dyDescent="0.25">
      <c r="G85" s="20"/>
      <c r="I85" t="s">
        <v>16</v>
      </c>
    </row>
    <row r="86" spans="1:9" x14ac:dyDescent="0.25">
      <c r="G86" s="20"/>
      <c r="I86" t="s">
        <v>16</v>
      </c>
    </row>
    <row r="87" spans="1:9" x14ac:dyDescent="0.25">
      <c r="G87" s="20"/>
      <c r="I87" t="s">
        <v>16</v>
      </c>
    </row>
    <row r="88" spans="1:9" x14ac:dyDescent="0.25">
      <c r="G88" s="20"/>
      <c r="I88" t="s">
        <v>16</v>
      </c>
    </row>
    <row r="89" spans="1:9" x14ac:dyDescent="0.25">
      <c r="G89" s="20"/>
      <c r="I89" t="s">
        <v>16</v>
      </c>
    </row>
    <row r="90" spans="1:9" x14ac:dyDescent="0.25">
      <c r="G90" s="20"/>
      <c r="I90" t="s">
        <v>16</v>
      </c>
    </row>
    <row r="91" spans="1:9" x14ac:dyDescent="0.25">
      <c r="I91" t="s">
        <v>16</v>
      </c>
    </row>
    <row r="92" spans="1:9" x14ac:dyDescent="0.25">
      <c r="I92" t="s">
        <v>16</v>
      </c>
    </row>
    <row r="93" spans="1:9" x14ac:dyDescent="0.25">
      <c r="I93" t="s">
        <v>16</v>
      </c>
    </row>
    <row r="94" spans="1:9" x14ac:dyDescent="0.25">
      <c r="I94" t="s">
        <v>16</v>
      </c>
    </row>
    <row r="95" spans="1:9" x14ac:dyDescent="0.25">
      <c r="I95" t="s">
        <v>16</v>
      </c>
    </row>
    <row r="96" spans="1:9" x14ac:dyDescent="0.25">
      <c r="I96" t="s">
        <v>16</v>
      </c>
    </row>
    <row r="97" spans="9:9" x14ac:dyDescent="0.25">
      <c r="I97" t="s">
        <v>16</v>
      </c>
    </row>
    <row r="98" spans="9:9" x14ac:dyDescent="0.25">
      <c r="I98" t="s">
        <v>16</v>
      </c>
    </row>
    <row r="99" spans="9:9" x14ac:dyDescent="0.25">
      <c r="I99" t="s">
        <v>16</v>
      </c>
    </row>
    <row r="100" spans="9:9" x14ac:dyDescent="0.25">
      <c r="I100" t="s">
        <v>16</v>
      </c>
    </row>
    <row r="101" spans="9:9" x14ac:dyDescent="0.25">
      <c r="I101" t="s">
        <v>16</v>
      </c>
    </row>
    <row r="102" spans="9:9" x14ac:dyDescent="0.25">
      <c r="I102" t="s">
        <v>16</v>
      </c>
    </row>
    <row r="103" spans="9:9" x14ac:dyDescent="0.25">
      <c r="I103" t="s">
        <v>16</v>
      </c>
    </row>
    <row r="104" spans="9:9" x14ac:dyDescent="0.25">
      <c r="I104" t="s">
        <v>16</v>
      </c>
    </row>
    <row r="105" spans="9:9" x14ac:dyDescent="0.25">
      <c r="I105" t="s">
        <v>16</v>
      </c>
    </row>
    <row r="106" spans="9:9" x14ac:dyDescent="0.25">
      <c r="I106" t="s">
        <v>16</v>
      </c>
    </row>
    <row r="107" spans="9:9" x14ac:dyDescent="0.25">
      <c r="I107" t="s">
        <v>16</v>
      </c>
    </row>
    <row r="108" spans="9:9" x14ac:dyDescent="0.25">
      <c r="I108" t="s">
        <v>16</v>
      </c>
    </row>
    <row r="109" spans="9:9" x14ac:dyDescent="0.25">
      <c r="I109" t="s">
        <v>16</v>
      </c>
    </row>
    <row r="110" spans="9:9" x14ac:dyDescent="0.25">
      <c r="I110" t="s">
        <v>16</v>
      </c>
    </row>
    <row r="111" spans="9:9" x14ac:dyDescent="0.25">
      <c r="I111" t="s">
        <v>16</v>
      </c>
    </row>
    <row r="112" spans="9:9" x14ac:dyDescent="0.25">
      <c r="I112" t="s">
        <v>16</v>
      </c>
    </row>
    <row r="113" spans="9:9" x14ac:dyDescent="0.25">
      <c r="I113" t="s">
        <v>16</v>
      </c>
    </row>
    <row r="114" spans="9:9" x14ac:dyDescent="0.25">
      <c r="I114" t="s">
        <v>16</v>
      </c>
    </row>
    <row r="115" spans="9:9" x14ac:dyDescent="0.25">
      <c r="I115" t="s">
        <v>16</v>
      </c>
    </row>
    <row r="116" spans="9:9" x14ac:dyDescent="0.25">
      <c r="I116" t="s">
        <v>16</v>
      </c>
    </row>
    <row r="117" spans="9:9" x14ac:dyDescent="0.25">
      <c r="I117" t="s">
        <v>16</v>
      </c>
    </row>
    <row r="118" spans="9:9" x14ac:dyDescent="0.25">
      <c r="I118" t="s">
        <v>16</v>
      </c>
    </row>
    <row r="119" spans="9:9" x14ac:dyDescent="0.25">
      <c r="I119" t="s">
        <v>16</v>
      </c>
    </row>
    <row r="120" spans="9:9" x14ac:dyDescent="0.25">
      <c r="I120" t="s">
        <v>16</v>
      </c>
    </row>
    <row r="121" spans="9:9" x14ac:dyDescent="0.25">
      <c r="I121" t="s">
        <v>16</v>
      </c>
    </row>
    <row r="122" spans="9:9" x14ac:dyDescent="0.25">
      <c r="I122" t="s">
        <v>16</v>
      </c>
    </row>
    <row r="123" spans="9:9" x14ac:dyDescent="0.25">
      <c r="I123" t="s">
        <v>16</v>
      </c>
    </row>
    <row r="124" spans="9:9" x14ac:dyDescent="0.25">
      <c r="I124" t="s">
        <v>16</v>
      </c>
    </row>
    <row r="125" spans="9:9" x14ac:dyDescent="0.25">
      <c r="I125" t="s">
        <v>16</v>
      </c>
    </row>
    <row r="126" spans="9:9" x14ac:dyDescent="0.25">
      <c r="I126" t="s">
        <v>16</v>
      </c>
    </row>
    <row r="127" spans="9:9" x14ac:dyDescent="0.25">
      <c r="I127" t="s">
        <v>16</v>
      </c>
    </row>
    <row r="128" spans="9:9" x14ac:dyDescent="0.25">
      <c r="I128" t="s">
        <v>16</v>
      </c>
    </row>
    <row r="129" spans="9:9" x14ac:dyDescent="0.25">
      <c r="I129" t="s">
        <v>16</v>
      </c>
    </row>
    <row r="130" spans="9:9" x14ac:dyDescent="0.25">
      <c r="I130" t="s">
        <v>16</v>
      </c>
    </row>
    <row r="131" spans="9:9" x14ac:dyDescent="0.25">
      <c r="I131" t="s">
        <v>16</v>
      </c>
    </row>
    <row r="132" spans="9:9" x14ac:dyDescent="0.25">
      <c r="I132" t="s">
        <v>16</v>
      </c>
    </row>
    <row r="133" spans="9:9" x14ac:dyDescent="0.25">
      <c r="I133" t="s">
        <v>16</v>
      </c>
    </row>
    <row r="134" spans="9:9" x14ac:dyDescent="0.25">
      <c r="I134" t="s">
        <v>16</v>
      </c>
    </row>
    <row r="135" spans="9:9" x14ac:dyDescent="0.25">
      <c r="I135" t="s">
        <v>16</v>
      </c>
    </row>
    <row r="136" spans="9:9" x14ac:dyDescent="0.25">
      <c r="I136" t="s">
        <v>16</v>
      </c>
    </row>
    <row r="137" spans="9:9" x14ac:dyDescent="0.25">
      <c r="I137" t="s">
        <v>16</v>
      </c>
    </row>
    <row r="138" spans="9:9" x14ac:dyDescent="0.25">
      <c r="I138" t="s">
        <v>16</v>
      </c>
    </row>
    <row r="139" spans="9:9" x14ac:dyDescent="0.25">
      <c r="I139" t="s">
        <v>16</v>
      </c>
    </row>
    <row r="140" spans="9:9" x14ac:dyDescent="0.25">
      <c r="I140" t="s">
        <v>16</v>
      </c>
    </row>
    <row r="141" spans="9:9" x14ac:dyDescent="0.25">
      <c r="I141" t="s">
        <v>16</v>
      </c>
    </row>
    <row r="142" spans="9:9" x14ac:dyDescent="0.25">
      <c r="I142" t="s">
        <v>16</v>
      </c>
    </row>
    <row r="143" spans="9:9" x14ac:dyDescent="0.25">
      <c r="I143" t="s">
        <v>16</v>
      </c>
    </row>
    <row r="144" spans="9:9" x14ac:dyDescent="0.25">
      <c r="I144" t="s">
        <v>16</v>
      </c>
    </row>
    <row r="145" spans="9:9" x14ac:dyDescent="0.25">
      <c r="I145" t="s">
        <v>16</v>
      </c>
    </row>
    <row r="146" spans="9:9" x14ac:dyDescent="0.25">
      <c r="I146" t="s">
        <v>16</v>
      </c>
    </row>
    <row r="147" spans="9:9" x14ac:dyDescent="0.25">
      <c r="I147" t="s">
        <v>16</v>
      </c>
    </row>
    <row r="148" spans="9:9" x14ac:dyDescent="0.25">
      <c r="I148" t="s">
        <v>16</v>
      </c>
    </row>
    <row r="149" spans="9:9" x14ac:dyDescent="0.25">
      <c r="I149" t="s">
        <v>16</v>
      </c>
    </row>
    <row r="150" spans="9:9" x14ac:dyDescent="0.25">
      <c r="I150" t="s">
        <v>16</v>
      </c>
    </row>
    <row r="151" spans="9:9" x14ac:dyDescent="0.25">
      <c r="I151" t="s">
        <v>16</v>
      </c>
    </row>
    <row r="152" spans="9:9" x14ac:dyDescent="0.25">
      <c r="I152" t="s">
        <v>16</v>
      </c>
    </row>
    <row r="153" spans="9:9" x14ac:dyDescent="0.25">
      <c r="I153" t="s">
        <v>16</v>
      </c>
    </row>
    <row r="154" spans="9:9" x14ac:dyDescent="0.25">
      <c r="I154" t="s">
        <v>16</v>
      </c>
    </row>
    <row r="155" spans="9:9" x14ac:dyDescent="0.25">
      <c r="I155" t="s">
        <v>16</v>
      </c>
    </row>
    <row r="156" spans="9:9" x14ac:dyDescent="0.25">
      <c r="I156" t="s">
        <v>16</v>
      </c>
    </row>
    <row r="157" spans="9:9" x14ac:dyDescent="0.25">
      <c r="I157" t="s">
        <v>16</v>
      </c>
    </row>
    <row r="158" spans="9:9" x14ac:dyDescent="0.25">
      <c r="I158" t="s">
        <v>16</v>
      </c>
    </row>
    <row r="159" spans="9:9" x14ac:dyDescent="0.25">
      <c r="I159" t="s">
        <v>16</v>
      </c>
    </row>
    <row r="160" spans="9:9" x14ac:dyDescent="0.25">
      <c r="I160" t="s">
        <v>16</v>
      </c>
    </row>
    <row r="161" spans="9:9" x14ac:dyDescent="0.25">
      <c r="I161" t="s">
        <v>16</v>
      </c>
    </row>
    <row r="162" spans="9:9" x14ac:dyDescent="0.25">
      <c r="I162" t="s">
        <v>16</v>
      </c>
    </row>
    <row r="163" spans="9:9" x14ac:dyDescent="0.25">
      <c r="I163" t="s">
        <v>16</v>
      </c>
    </row>
    <row r="164" spans="9:9" x14ac:dyDescent="0.25">
      <c r="I164" t="s">
        <v>16</v>
      </c>
    </row>
    <row r="165" spans="9:9" x14ac:dyDescent="0.25">
      <c r="I165" t="s">
        <v>16</v>
      </c>
    </row>
    <row r="166" spans="9:9" x14ac:dyDescent="0.25">
      <c r="I166" t="s">
        <v>16</v>
      </c>
    </row>
    <row r="167" spans="9:9" x14ac:dyDescent="0.25">
      <c r="I167" t="s">
        <v>16</v>
      </c>
    </row>
    <row r="168" spans="9:9" x14ac:dyDescent="0.25">
      <c r="I168" t="s">
        <v>16</v>
      </c>
    </row>
    <row r="169" spans="9:9" x14ac:dyDescent="0.25">
      <c r="I169" t="s">
        <v>16</v>
      </c>
    </row>
    <row r="170" spans="9:9" x14ac:dyDescent="0.25">
      <c r="I170" t="s">
        <v>16</v>
      </c>
    </row>
    <row r="171" spans="9:9" x14ac:dyDescent="0.25">
      <c r="I171" t="s">
        <v>16</v>
      </c>
    </row>
    <row r="172" spans="9:9" x14ac:dyDescent="0.25">
      <c r="I172" t="s">
        <v>16</v>
      </c>
    </row>
    <row r="173" spans="9:9" x14ac:dyDescent="0.25">
      <c r="I173" t="s">
        <v>16</v>
      </c>
    </row>
    <row r="174" spans="9:9" x14ac:dyDescent="0.25">
      <c r="I174" t="s">
        <v>16</v>
      </c>
    </row>
    <row r="175" spans="9:9" x14ac:dyDescent="0.25">
      <c r="I175" t="s">
        <v>16</v>
      </c>
    </row>
    <row r="176" spans="9:9" x14ac:dyDescent="0.25">
      <c r="I176" t="s">
        <v>16</v>
      </c>
    </row>
    <row r="177" spans="9:9" x14ac:dyDescent="0.25">
      <c r="I177" t="s">
        <v>16</v>
      </c>
    </row>
    <row r="178" spans="9:9" x14ac:dyDescent="0.25">
      <c r="I178" t="s">
        <v>16</v>
      </c>
    </row>
    <row r="179" spans="9:9" x14ac:dyDescent="0.25">
      <c r="I179" t="s">
        <v>16</v>
      </c>
    </row>
    <row r="180" spans="9:9" x14ac:dyDescent="0.25">
      <c r="I180" t="s">
        <v>16</v>
      </c>
    </row>
    <row r="181" spans="9:9" x14ac:dyDescent="0.25">
      <c r="I181" t="s">
        <v>16</v>
      </c>
    </row>
    <row r="182" spans="9:9" x14ac:dyDescent="0.25">
      <c r="I182" t="s">
        <v>16</v>
      </c>
    </row>
    <row r="183" spans="9:9" x14ac:dyDescent="0.25">
      <c r="I183" t="s">
        <v>16</v>
      </c>
    </row>
    <row r="184" spans="9:9" x14ac:dyDescent="0.25">
      <c r="I184" t="s">
        <v>16</v>
      </c>
    </row>
    <row r="185" spans="9:9" x14ac:dyDescent="0.25">
      <c r="I185" t="s">
        <v>16</v>
      </c>
    </row>
    <row r="186" spans="9:9" x14ac:dyDescent="0.25">
      <c r="I186" t="s">
        <v>16</v>
      </c>
    </row>
    <row r="187" spans="9:9" x14ac:dyDescent="0.25">
      <c r="I187" t="s">
        <v>16</v>
      </c>
    </row>
    <row r="188" spans="9:9" x14ac:dyDescent="0.25">
      <c r="I188" t="s">
        <v>16</v>
      </c>
    </row>
    <row r="189" spans="9:9" x14ac:dyDescent="0.25">
      <c r="I189" t="s">
        <v>16</v>
      </c>
    </row>
    <row r="190" spans="9:9" x14ac:dyDescent="0.25">
      <c r="I190" t="s">
        <v>16</v>
      </c>
    </row>
    <row r="191" spans="9:9" x14ac:dyDescent="0.25">
      <c r="I191" t="s">
        <v>16</v>
      </c>
    </row>
    <row r="192" spans="9:9" x14ac:dyDescent="0.25">
      <c r="I192" t="s">
        <v>16</v>
      </c>
    </row>
    <row r="193" spans="9:9" x14ac:dyDescent="0.25">
      <c r="I193" t="s">
        <v>16</v>
      </c>
    </row>
    <row r="194" spans="9:9" x14ac:dyDescent="0.25">
      <c r="I194" t="s">
        <v>16</v>
      </c>
    </row>
    <row r="195" spans="9:9" x14ac:dyDescent="0.25">
      <c r="I195" t="s">
        <v>16</v>
      </c>
    </row>
    <row r="196" spans="9:9" x14ac:dyDescent="0.25">
      <c r="I196" t="s">
        <v>16</v>
      </c>
    </row>
    <row r="197" spans="9:9" x14ac:dyDescent="0.25">
      <c r="I197" t="s">
        <v>16</v>
      </c>
    </row>
    <row r="198" spans="9:9" x14ac:dyDescent="0.25">
      <c r="I198" t="s">
        <v>16</v>
      </c>
    </row>
    <row r="199" spans="9:9" x14ac:dyDescent="0.25">
      <c r="I199" t="s">
        <v>16</v>
      </c>
    </row>
    <row r="200" spans="9:9" x14ac:dyDescent="0.25">
      <c r="I200" t="s">
        <v>16</v>
      </c>
    </row>
    <row r="201" spans="9:9" x14ac:dyDescent="0.25">
      <c r="I201" t="s">
        <v>16</v>
      </c>
    </row>
    <row r="202" spans="9:9" x14ac:dyDescent="0.25">
      <c r="I202" t="s">
        <v>16</v>
      </c>
    </row>
    <row r="203" spans="9:9" x14ac:dyDescent="0.25">
      <c r="I203" t="s">
        <v>16</v>
      </c>
    </row>
    <row r="204" spans="9:9" x14ac:dyDescent="0.25">
      <c r="I204" t="s">
        <v>16</v>
      </c>
    </row>
    <row r="205" spans="9:9" x14ac:dyDescent="0.25">
      <c r="I205" t="s">
        <v>16</v>
      </c>
    </row>
    <row r="206" spans="9:9" x14ac:dyDescent="0.25">
      <c r="I206" t="s">
        <v>16</v>
      </c>
    </row>
    <row r="207" spans="9:9" x14ac:dyDescent="0.25">
      <c r="I207" t="s">
        <v>16</v>
      </c>
    </row>
    <row r="208" spans="9:9" x14ac:dyDescent="0.25">
      <c r="I208" t="s">
        <v>16</v>
      </c>
    </row>
    <row r="209" spans="9:9" x14ac:dyDescent="0.25">
      <c r="I209" t="s">
        <v>16</v>
      </c>
    </row>
    <row r="210" spans="9:9" x14ac:dyDescent="0.25">
      <c r="I210" t="s">
        <v>16</v>
      </c>
    </row>
    <row r="211" spans="9:9" x14ac:dyDescent="0.25">
      <c r="I211" t="s">
        <v>16</v>
      </c>
    </row>
    <row r="212" spans="9:9" x14ac:dyDescent="0.25">
      <c r="I212" t="s">
        <v>16</v>
      </c>
    </row>
    <row r="213" spans="9:9" x14ac:dyDescent="0.25">
      <c r="I213" t="s">
        <v>16</v>
      </c>
    </row>
    <row r="214" spans="9:9" x14ac:dyDescent="0.25">
      <c r="I214" t="s">
        <v>16</v>
      </c>
    </row>
    <row r="215" spans="9:9" x14ac:dyDescent="0.25">
      <c r="I215" t="s">
        <v>16</v>
      </c>
    </row>
    <row r="216" spans="9:9" x14ac:dyDescent="0.25">
      <c r="I216" t="s">
        <v>16</v>
      </c>
    </row>
    <row r="217" spans="9:9" x14ac:dyDescent="0.25">
      <c r="I217" t="s">
        <v>16</v>
      </c>
    </row>
    <row r="218" spans="9:9" x14ac:dyDescent="0.25">
      <c r="I218" t="s">
        <v>16</v>
      </c>
    </row>
    <row r="219" spans="9:9" x14ac:dyDescent="0.25">
      <c r="I219" t="s">
        <v>16</v>
      </c>
    </row>
    <row r="220" spans="9:9" x14ac:dyDescent="0.25">
      <c r="I220" t="s">
        <v>16</v>
      </c>
    </row>
    <row r="221" spans="9:9" x14ac:dyDescent="0.25">
      <c r="I221" t="s">
        <v>16</v>
      </c>
    </row>
    <row r="222" spans="9:9" x14ac:dyDescent="0.25">
      <c r="I222" t="s">
        <v>16</v>
      </c>
    </row>
    <row r="223" spans="9:9" x14ac:dyDescent="0.25">
      <c r="I223" t="s">
        <v>16</v>
      </c>
    </row>
    <row r="224" spans="9:9" x14ac:dyDescent="0.25">
      <c r="I224" t="s">
        <v>16</v>
      </c>
    </row>
    <row r="225" spans="9:9" x14ac:dyDescent="0.25">
      <c r="I225" t="s">
        <v>16</v>
      </c>
    </row>
    <row r="226" spans="9:9" x14ac:dyDescent="0.25">
      <c r="I226" t="s">
        <v>16</v>
      </c>
    </row>
    <row r="227" spans="9:9" x14ac:dyDescent="0.25">
      <c r="I227" t="s">
        <v>16</v>
      </c>
    </row>
    <row r="228" spans="9:9" x14ac:dyDescent="0.25">
      <c r="I228" t="s">
        <v>16</v>
      </c>
    </row>
    <row r="229" spans="9:9" x14ac:dyDescent="0.25">
      <c r="I229" t="s">
        <v>16</v>
      </c>
    </row>
    <row r="230" spans="9:9" x14ac:dyDescent="0.25">
      <c r="I230" t="s">
        <v>16</v>
      </c>
    </row>
    <row r="231" spans="9:9" x14ac:dyDescent="0.25">
      <c r="I231" t="s">
        <v>16</v>
      </c>
    </row>
    <row r="232" spans="9:9" x14ac:dyDescent="0.25">
      <c r="I232" t="s">
        <v>16</v>
      </c>
    </row>
    <row r="233" spans="9:9" x14ac:dyDescent="0.25">
      <c r="I233" t="s">
        <v>16</v>
      </c>
    </row>
    <row r="234" spans="9:9" x14ac:dyDescent="0.25">
      <c r="I234" t="s">
        <v>16</v>
      </c>
    </row>
    <row r="235" spans="9:9" x14ac:dyDescent="0.25">
      <c r="I235" t="s">
        <v>16</v>
      </c>
    </row>
    <row r="236" spans="9:9" x14ac:dyDescent="0.25">
      <c r="I236" t="s">
        <v>16</v>
      </c>
    </row>
    <row r="237" spans="9:9" x14ac:dyDescent="0.25">
      <c r="I237" t="s">
        <v>16</v>
      </c>
    </row>
    <row r="238" spans="9:9" x14ac:dyDescent="0.25">
      <c r="I238" t="s">
        <v>16</v>
      </c>
    </row>
    <row r="239" spans="9:9" x14ac:dyDescent="0.25">
      <c r="I239" t="s">
        <v>16</v>
      </c>
    </row>
    <row r="240" spans="9:9" x14ac:dyDescent="0.25">
      <c r="I240" t="s">
        <v>16</v>
      </c>
    </row>
    <row r="241" spans="9:9" x14ac:dyDescent="0.25">
      <c r="I241" t="s">
        <v>16</v>
      </c>
    </row>
    <row r="242" spans="9:9" x14ac:dyDescent="0.25">
      <c r="I242" t="s">
        <v>16</v>
      </c>
    </row>
    <row r="243" spans="9:9" x14ac:dyDescent="0.25">
      <c r="I243" t="s">
        <v>16</v>
      </c>
    </row>
    <row r="244" spans="9:9" x14ac:dyDescent="0.25">
      <c r="I244" t="s">
        <v>16</v>
      </c>
    </row>
    <row r="245" spans="9:9" x14ac:dyDescent="0.25">
      <c r="I245" t="s">
        <v>16</v>
      </c>
    </row>
    <row r="246" spans="9:9" x14ac:dyDescent="0.25">
      <c r="I246" t="s">
        <v>16</v>
      </c>
    </row>
    <row r="247" spans="9:9" x14ac:dyDescent="0.25">
      <c r="I247" t="s">
        <v>16</v>
      </c>
    </row>
    <row r="248" spans="9:9" x14ac:dyDescent="0.25">
      <c r="I248" t="s">
        <v>16</v>
      </c>
    </row>
    <row r="249" spans="9:9" x14ac:dyDescent="0.25">
      <c r="I249" t="s">
        <v>16</v>
      </c>
    </row>
    <row r="250" spans="9:9" x14ac:dyDescent="0.25">
      <c r="I250" t="s">
        <v>16</v>
      </c>
    </row>
    <row r="251" spans="9:9" x14ac:dyDescent="0.25">
      <c r="I251" t="s">
        <v>16</v>
      </c>
    </row>
    <row r="252" spans="9:9" x14ac:dyDescent="0.25">
      <c r="I252" t="s">
        <v>16</v>
      </c>
    </row>
    <row r="253" spans="9:9" x14ac:dyDescent="0.25">
      <c r="I253" t="s">
        <v>16</v>
      </c>
    </row>
    <row r="254" spans="9:9" x14ac:dyDescent="0.25">
      <c r="I254" t="s">
        <v>16</v>
      </c>
    </row>
    <row r="255" spans="9:9" x14ac:dyDescent="0.25">
      <c r="I255" t="s">
        <v>16</v>
      </c>
    </row>
    <row r="256" spans="9:9" x14ac:dyDescent="0.25">
      <c r="I256" t="s">
        <v>16</v>
      </c>
    </row>
    <row r="257" spans="9:9" x14ac:dyDescent="0.25">
      <c r="I257" t="s">
        <v>16</v>
      </c>
    </row>
    <row r="258" spans="9:9" x14ac:dyDescent="0.25">
      <c r="I258" t="s">
        <v>16</v>
      </c>
    </row>
    <row r="259" spans="9:9" x14ac:dyDescent="0.25">
      <c r="I259" t="s">
        <v>16</v>
      </c>
    </row>
    <row r="260" spans="9:9" x14ac:dyDescent="0.25">
      <c r="I260" t="s">
        <v>16</v>
      </c>
    </row>
    <row r="261" spans="9:9" x14ac:dyDescent="0.25">
      <c r="I261" t="s">
        <v>16</v>
      </c>
    </row>
    <row r="262" spans="9:9" x14ac:dyDescent="0.25">
      <c r="I262" t="s">
        <v>16</v>
      </c>
    </row>
    <row r="263" spans="9:9" x14ac:dyDescent="0.25">
      <c r="I263" t="s">
        <v>16</v>
      </c>
    </row>
    <row r="264" spans="9:9" x14ac:dyDescent="0.25">
      <c r="I264" t="s">
        <v>16</v>
      </c>
    </row>
    <row r="265" spans="9:9" x14ac:dyDescent="0.25">
      <c r="I265" t="s">
        <v>16</v>
      </c>
    </row>
    <row r="266" spans="9:9" x14ac:dyDescent="0.25">
      <c r="I266" t="s">
        <v>16</v>
      </c>
    </row>
    <row r="267" spans="9:9" x14ac:dyDescent="0.25">
      <c r="I267" t="s">
        <v>16</v>
      </c>
    </row>
    <row r="268" spans="9:9" x14ac:dyDescent="0.25">
      <c r="I268" t="s">
        <v>16</v>
      </c>
    </row>
    <row r="269" spans="9:9" x14ac:dyDescent="0.25">
      <c r="I269" t="s">
        <v>16</v>
      </c>
    </row>
    <row r="270" spans="9:9" x14ac:dyDescent="0.25">
      <c r="I270" t="s">
        <v>16</v>
      </c>
    </row>
    <row r="271" spans="9:9" x14ac:dyDescent="0.25">
      <c r="I271" t="s">
        <v>16</v>
      </c>
    </row>
    <row r="272" spans="9:9" x14ac:dyDescent="0.25">
      <c r="I272" t="s">
        <v>16</v>
      </c>
    </row>
    <row r="273" spans="9:9" x14ac:dyDescent="0.25">
      <c r="I273" t="s">
        <v>16</v>
      </c>
    </row>
    <row r="274" spans="9:9" x14ac:dyDescent="0.25">
      <c r="I274" t="s">
        <v>16</v>
      </c>
    </row>
    <row r="275" spans="9:9" x14ac:dyDescent="0.25">
      <c r="I275" t="s">
        <v>16</v>
      </c>
    </row>
    <row r="276" spans="9:9" x14ac:dyDescent="0.25">
      <c r="I276" t="s">
        <v>16</v>
      </c>
    </row>
    <row r="277" spans="9:9" x14ac:dyDescent="0.25">
      <c r="I277" t="s">
        <v>16</v>
      </c>
    </row>
    <row r="278" spans="9:9" x14ac:dyDescent="0.25">
      <c r="I278" t="s">
        <v>16</v>
      </c>
    </row>
    <row r="279" spans="9:9" x14ac:dyDescent="0.25">
      <c r="I279" t="s">
        <v>16</v>
      </c>
    </row>
    <row r="280" spans="9:9" x14ac:dyDescent="0.25">
      <c r="I280" t="s">
        <v>16</v>
      </c>
    </row>
    <row r="281" spans="9:9" x14ac:dyDescent="0.25">
      <c r="I281" t="s">
        <v>16</v>
      </c>
    </row>
    <row r="282" spans="9:9" x14ac:dyDescent="0.25">
      <c r="I282" t="s">
        <v>16</v>
      </c>
    </row>
    <row r="283" spans="9:9" x14ac:dyDescent="0.25">
      <c r="I283" t="s">
        <v>16</v>
      </c>
    </row>
    <row r="284" spans="9:9" x14ac:dyDescent="0.25">
      <c r="I284" t="s">
        <v>16</v>
      </c>
    </row>
    <row r="285" spans="9:9" x14ac:dyDescent="0.25">
      <c r="I285" t="s">
        <v>16</v>
      </c>
    </row>
    <row r="286" spans="9:9" x14ac:dyDescent="0.25">
      <c r="I286" t="s">
        <v>16</v>
      </c>
    </row>
    <row r="287" spans="9:9" x14ac:dyDescent="0.25">
      <c r="I287" t="s">
        <v>16</v>
      </c>
    </row>
    <row r="288" spans="9:9" x14ac:dyDescent="0.25">
      <c r="I288" t="s">
        <v>16</v>
      </c>
    </row>
    <row r="289" spans="9:9" x14ac:dyDescent="0.25">
      <c r="I289" t="s">
        <v>16</v>
      </c>
    </row>
    <row r="290" spans="9:9" x14ac:dyDescent="0.25">
      <c r="I290" t="s">
        <v>16</v>
      </c>
    </row>
    <row r="291" spans="9:9" x14ac:dyDescent="0.25">
      <c r="I291" t="s">
        <v>16</v>
      </c>
    </row>
    <row r="292" spans="9:9" x14ac:dyDescent="0.25">
      <c r="I292" t="s">
        <v>16</v>
      </c>
    </row>
    <row r="293" spans="9:9" x14ac:dyDescent="0.25">
      <c r="I293" t="s">
        <v>16</v>
      </c>
    </row>
    <row r="294" spans="9:9" x14ac:dyDescent="0.25">
      <c r="I294" t="s">
        <v>16</v>
      </c>
    </row>
    <row r="295" spans="9:9" x14ac:dyDescent="0.25">
      <c r="I295" t="s">
        <v>16</v>
      </c>
    </row>
    <row r="296" spans="9:9" x14ac:dyDescent="0.25">
      <c r="I296" t="s">
        <v>16</v>
      </c>
    </row>
    <row r="297" spans="9:9" x14ac:dyDescent="0.25">
      <c r="I297" t="s">
        <v>16</v>
      </c>
    </row>
    <row r="298" spans="9:9" x14ac:dyDescent="0.25">
      <c r="I298" t="s">
        <v>16</v>
      </c>
    </row>
    <row r="299" spans="9:9" x14ac:dyDescent="0.25">
      <c r="I299" t="s">
        <v>16</v>
      </c>
    </row>
    <row r="300" spans="9:9" x14ac:dyDescent="0.25">
      <c r="I300" t="s">
        <v>16</v>
      </c>
    </row>
    <row r="301" spans="9:9" x14ac:dyDescent="0.25">
      <c r="I301" t="s">
        <v>16</v>
      </c>
    </row>
    <row r="302" spans="9:9" x14ac:dyDescent="0.25">
      <c r="I302" t="s">
        <v>16</v>
      </c>
    </row>
    <row r="303" spans="9:9" x14ac:dyDescent="0.25">
      <c r="I303" t="s">
        <v>16</v>
      </c>
    </row>
    <row r="304" spans="9:9" x14ac:dyDescent="0.25">
      <c r="I304" t="s">
        <v>16</v>
      </c>
    </row>
    <row r="305" spans="9:9" x14ac:dyDescent="0.25">
      <c r="I305" t="s">
        <v>16</v>
      </c>
    </row>
    <row r="306" spans="9:9" x14ac:dyDescent="0.25">
      <c r="I306" t="s">
        <v>16</v>
      </c>
    </row>
    <row r="307" spans="9:9" x14ac:dyDescent="0.25">
      <c r="I307" t="s">
        <v>16</v>
      </c>
    </row>
    <row r="308" spans="9:9" x14ac:dyDescent="0.25">
      <c r="I308" t="s">
        <v>16</v>
      </c>
    </row>
    <row r="309" spans="9:9" x14ac:dyDescent="0.25">
      <c r="I309" t="s">
        <v>16</v>
      </c>
    </row>
    <row r="310" spans="9:9" x14ac:dyDescent="0.25">
      <c r="I310" t="s">
        <v>16</v>
      </c>
    </row>
    <row r="311" spans="9:9" x14ac:dyDescent="0.25">
      <c r="I311" t="s">
        <v>16</v>
      </c>
    </row>
    <row r="312" spans="9:9" x14ac:dyDescent="0.25">
      <c r="I312" t="s">
        <v>16</v>
      </c>
    </row>
    <row r="313" spans="9:9" x14ac:dyDescent="0.25">
      <c r="I313" t="s">
        <v>16</v>
      </c>
    </row>
    <row r="314" spans="9:9" x14ac:dyDescent="0.25">
      <c r="I314" t="s">
        <v>16</v>
      </c>
    </row>
    <row r="315" spans="9:9" x14ac:dyDescent="0.25">
      <c r="I315" t="s">
        <v>16</v>
      </c>
    </row>
    <row r="316" spans="9:9" x14ac:dyDescent="0.25">
      <c r="I316" t="s">
        <v>16</v>
      </c>
    </row>
    <row r="317" spans="9:9" x14ac:dyDescent="0.25">
      <c r="I317" t="s">
        <v>16</v>
      </c>
    </row>
    <row r="318" spans="9:9" x14ac:dyDescent="0.25">
      <c r="I318" t="s">
        <v>16</v>
      </c>
    </row>
    <row r="319" spans="9:9" x14ac:dyDescent="0.25">
      <c r="I319" t="s">
        <v>16</v>
      </c>
    </row>
    <row r="320" spans="9:9" x14ac:dyDescent="0.25">
      <c r="I320" t="s">
        <v>16</v>
      </c>
    </row>
    <row r="321" spans="9:9" x14ac:dyDescent="0.25">
      <c r="I321" t="s">
        <v>16</v>
      </c>
    </row>
    <row r="322" spans="9:9" x14ac:dyDescent="0.25">
      <c r="I322" t="s">
        <v>16</v>
      </c>
    </row>
    <row r="323" spans="9:9" x14ac:dyDescent="0.25">
      <c r="I323" t="s">
        <v>16</v>
      </c>
    </row>
    <row r="324" spans="9:9" x14ac:dyDescent="0.25">
      <c r="I324" t="s">
        <v>16</v>
      </c>
    </row>
    <row r="325" spans="9:9" x14ac:dyDescent="0.25">
      <c r="I325" t="s">
        <v>16</v>
      </c>
    </row>
    <row r="326" spans="9:9" x14ac:dyDescent="0.25">
      <c r="I326" t="s">
        <v>16</v>
      </c>
    </row>
    <row r="327" spans="9:9" x14ac:dyDescent="0.25">
      <c r="I327" t="s">
        <v>16</v>
      </c>
    </row>
    <row r="328" spans="9:9" x14ac:dyDescent="0.25">
      <c r="I328" t="s">
        <v>16</v>
      </c>
    </row>
    <row r="329" spans="9:9" x14ac:dyDescent="0.25">
      <c r="I329" t="s">
        <v>16</v>
      </c>
    </row>
    <row r="330" spans="9:9" x14ac:dyDescent="0.25">
      <c r="I330" t="s">
        <v>16</v>
      </c>
    </row>
    <row r="331" spans="9:9" x14ac:dyDescent="0.25">
      <c r="I331" t="s">
        <v>16</v>
      </c>
    </row>
    <row r="332" spans="9:9" x14ac:dyDescent="0.25">
      <c r="I332" t="s">
        <v>16</v>
      </c>
    </row>
    <row r="333" spans="9:9" x14ac:dyDescent="0.25">
      <c r="I333" t="s">
        <v>16</v>
      </c>
    </row>
    <row r="334" spans="9:9" x14ac:dyDescent="0.25">
      <c r="I334" t="s">
        <v>16</v>
      </c>
    </row>
    <row r="335" spans="9:9" x14ac:dyDescent="0.25">
      <c r="I335" t="s">
        <v>16</v>
      </c>
    </row>
    <row r="336" spans="9:9" x14ac:dyDescent="0.25">
      <c r="I336" t="s">
        <v>16</v>
      </c>
    </row>
    <row r="337" spans="9:9" x14ac:dyDescent="0.25">
      <c r="I337" t="s">
        <v>16</v>
      </c>
    </row>
    <row r="338" spans="9:9" x14ac:dyDescent="0.25">
      <c r="I338" t="s">
        <v>16</v>
      </c>
    </row>
    <row r="339" spans="9:9" x14ac:dyDescent="0.25">
      <c r="I339" t="s">
        <v>16</v>
      </c>
    </row>
    <row r="340" spans="9:9" x14ac:dyDescent="0.25">
      <c r="I340" t="s">
        <v>16</v>
      </c>
    </row>
    <row r="341" spans="9:9" x14ac:dyDescent="0.25">
      <c r="I341" t="s">
        <v>16</v>
      </c>
    </row>
    <row r="342" spans="9:9" x14ac:dyDescent="0.25">
      <c r="I342" t="s">
        <v>16</v>
      </c>
    </row>
    <row r="343" spans="9:9" x14ac:dyDescent="0.25">
      <c r="I343" t="s">
        <v>16</v>
      </c>
    </row>
    <row r="344" spans="9:9" x14ac:dyDescent="0.25">
      <c r="I344" t="s">
        <v>16</v>
      </c>
    </row>
    <row r="345" spans="9:9" x14ac:dyDescent="0.25">
      <c r="I345" t="s">
        <v>16</v>
      </c>
    </row>
    <row r="346" spans="9:9" x14ac:dyDescent="0.25">
      <c r="I346" t="s">
        <v>16</v>
      </c>
    </row>
    <row r="347" spans="9:9" x14ac:dyDescent="0.25">
      <c r="I347" t="s">
        <v>16</v>
      </c>
    </row>
    <row r="348" spans="9:9" x14ac:dyDescent="0.25">
      <c r="I348" t="s">
        <v>16</v>
      </c>
    </row>
    <row r="349" spans="9:9" x14ac:dyDescent="0.25">
      <c r="I349" t="s">
        <v>16</v>
      </c>
    </row>
    <row r="350" spans="9:9" x14ac:dyDescent="0.25">
      <c r="I350" t="s">
        <v>16</v>
      </c>
    </row>
    <row r="351" spans="9:9" x14ac:dyDescent="0.25">
      <c r="I351" t="s">
        <v>16</v>
      </c>
    </row>
    <row r="352" spans="9:9" x14ac:dyDescent="0.25">
      <c r="I352" t="s">
        <v>16</v>
      </c>
    </row>
    <row r="353" spans="9:9" x14ac:dyDescent="0.25">
      <c r="I353" t="s">
        <v>16</v>
      </c>
    </row>
    <row r="354" spans="9:9" x14ac:dyDescent="0.25">
      <c r="I354" t="s">
        <v>16</v>
      </c>
    </row>
    <row r="355" spans="9:9" x14ac:dyDescent="0.25">
      <c r="I355" t="s">
        <v>16</v>
      </c>
    </row>
    <row r="356" spans="9:9" x14ac:dyDescent="0.25">
      <c r="I356" t="s">
        <v>16</v>
      </c>
    </row>
    <row r="357" spans="9:9" x14ac:dyDescent="0.25">
      <c r="I357" t="s">
        <v>16</v>
      </c>
    </row>
    <row r="358" spans="9:9" x14ac:dyDescent="0.25">
      <c r="I358" t="s">
        <v>16</v>
      </c>
    </row>
    <row r="359" spans="9:9" x14ac:dyDescent="0.25">
      <c r="I359" t="s">
        <v>16</v>
      </c>
    </row>
    <row r="360" spans="9:9" x14ac:dyDescent="0.25">
      <c r="I360" t="s">
        <v>16</v>
      </c>
    </row>
    <row r="361" spans="9:9" x14ac:dyDescent="0.25">
      <c r="I361" t="s">
        <v>16</v>
      </c>
    </row>
    <row r="362" spans="9:9" x14ac:dyDescent="0.25">
      <c r="I362" t="s">
        <v>16</v>
      </c>
    </row>
    <row r="363" spans="9:9" x14ac:dyDescent="0.25">
      <c r="I363" t="s">
        <v>16</v>
      </c>
    </row>
    <row r="364" spans="9:9" x14ac:dyDescent="0.25">
      <c r="I364" t="s">
        <v>16</v>
      </c>
    </row>
    <row r="365" spans="9:9" x14ac:dyDescent="0.25">
      <c r="I365" t="s">
        <v>16</v>
      </c>
    </row>
    <row r="366" spans="9:9" x14ac:dyDescent="0.25">
      <c r="I366" t="s">
        <v>16</v>
      </c>
    </row>
    <row r="367" spans="9:9" x14ac:dyDescent="0.25">
      <c r="I367" t="s">
        <v>16</v>
      </c>
    </row>
    <row r="368" spans="9:9" x14ac:dyDescent="0.25">
      <c r="I368" t="s">
        <v>16</v>
      </c>
    </row>
    <row r="369" spans="9:9" x14ac:dyDescent="0.25">
      <c r="I369" t="s">
        <v>16</v>
      </c>
    </row>
    <row r="370" spans="9:9" x14ac:dyDescent="0.25">
      <c r="I370" t="s">
        <v>16</v>
      </c>
    </row>
    <row r="371" spans="9:9" x14ac:dyDescent="0.25">
      <c r="I371" t="s">
        <v>16</v>
      </c>
    </row>
    <row r="372" spans="9:9" x14ac:dyDescent="0.25">
      <c r="I372" t="s">
        <v>16</v>
      </c>
    </row>
    <row r="373" spans="9:9" x14ac:dyDescent="0.25">
      <c r="I373" t="s">
        <v>16</v>
      </c>
    </row>
    <row r="374" spans="9:9" x14ac:dyDescent="0.25">
      <c r="I374" t="s">
        <v>16</v>
      </c>
    </row>
    <row r="375" spans="9:9" x14ac:dyDescent="0.25">
      <c r="I375" t="s">
        <v>16</v>
      </c>
    </row>
    <row r="376" spans="9:9" x14ac:dyDescent="0.25">
      <c r="I376" t="s">
        <v>16</v>
      </c>
    </row>
    <row r="377" spans="9:9" x14ac:dyDescent="0.25">
      <c r="I377" t="s">
        <v>16</v>
      </c>
    </row>
    <row r="378" spans="9:9" x14ac:dyDescent="0.25">
      <c r="I378" t="s">
        <v>16</v>
      </c>
    </row>
    <row r="379" spans="9:9" x14ac:dyDescent="0.25">
      <c r="I379" t="s">
        <v>16</v>
      </c>
    </row>
    <row r="380" spans="9:9" x14ac:dyDescent="0.25">
      <c r="I380" t="s">
        <v>16</v>
      </c>
    </row>
    <row r="381" spans="9:9" x14ac:dyDescent="0.25">
      <c r="I381" t="s">
        <v>16</v>
      </c>
    </row>
    <row r="382" spans="9:9" x14ac:dyDescent="0.25">
      <c r="I382" t="s">
        <v>16</v>
      </c>
    </row>
    <row r="383" spans="9:9" x14ac:dyDescent="0.25">
      <c r="I383" t="s">
        <v>16</v>
      </c>
    </row>
    <row r="384" spans="9:9" x14ac:dyDescent="0.25">
      <c r="I384" t="s">
        <v>16</v>
      </c>
    </row>
    <row r="385" spans="9:9" x14ac:dyDescent="0.25">
      <c r="I385" t="s">
        <v>16</v>
      </c>
    </row>
    <row r="386" spans="9:9" x14ac:dyDescent="0.25">
      <c r="I386" t="s">
        <v>16</v>
      </c>
    </row>
    <row r="387" spans="9:9" x14ac:dyDescent="0.25">
      <c r="I387" t="s">
        <v>16</v>
      </c>
    </row>
    <row r="388" spans="9:9" x14ac:dyDescent="0.25">
      <c r="I388" t="s">
        <v>16</v>
      </c>
    </row>
    <row r="389" spans="9:9" x14ac:dyDescent="0.25">
      <c r="I389" t="s">
        <v>16</v>
      </c>
    </row>
    <row r="390" spans="9:9" x14ac:dyDescent="0.25">
      <c r="I390" t="s">
        <v>16</v>
      </c>
    </row>
    <row r="391" spans="9:9" x14ac:dyDescent="0.25">
      <c r="I391" t="s">
        <v>16</v>
      </c>
    </row>
    <row r="392" spans="9:9" x14ac:dyDescent="0.25">
      <c r="I392" t="s">
        <v>16</v>
      </c>
    </row>
    <row r="393" spans="9:9" x14ac:dyDescent="0.25">
      <c r="I393" t="s">
        <v>16</v>
      </c>
    </row>
    <row r="394" spans="9:9" x14ac:dyDescent="0.25">
      <c r="I394" t="s">
        <v>16</v>
      </c>
    </row>
    <row r="395" spans="9:9" x14ac:dyDescent="0.25">
      <c r="I395" t="s">
        <v>16</v>
      </c>
    </row>
    <row r="396" spans="9:9" x14ac:dyDescent="0.25">
      <c r="I396" t="s">
        <v>16</v>
      </c>
    </row>
    <row r="397" spans="9:9" x14ac:dyDescent="0.25">
      <c r="I397" t="s">
        <v>16</v>
      </c>
    </row>
    <row r="398" spans="9:9" x14ac:dyDescent="0.25">
      <c r="I398" t="s">
        <v>16</v>
      </c>
    </row>
    <row r="399" spans="9:9" x14ac:dyDescent="0.25">
      <c r="I399" t="s">
        <v>16</v>
      </c>
    </row>
    <row r="400" spans="9:9" x14ac:dyDescent="0.25">
      <c r="I400" t="s">
        <v>16</v>
      </c>
    </row>
    <row r="401" spans="9:9" x14ac:dyDescent="0.25">
      <c r="I401" t="s">
        <v>16</v>
      </c>
    </row>
    <row r="402" spans="9:9" x14ac:dyDescent="0.25">
      <c r="I402" t="s">
        <v>16</v>
      </c>
    </row>
    <row r="403" spans="9:9" x14ac:dyDescent="0.25">
      <c r="I403" t="s">
        <v>16</v>
      </c>
    </row>
    <row r="404" spans="9:9" x14ac:dyDescent="0.25">
      <c r="I404" t="s">
        <v>16</v>
      </c>
    </row>
    <row r="405" spans="9:9" x14ac:dyDescent="0.25">
      <c r="I405" t="s">
        <v>16</v>
      </c>
    </row>
    <row r="406" spans="9:9" x14ac:dyDescent="0.25">
      <c r="I406" t="s">
        <v>16</v>
      </c>
    </row>
    <row r="407" spans="9:9" x14ac:dyDescent="0.25">
      <c r="I407" t="s">
        <v>16</v>
      </c>
    </row>
    <row r="408" spans="9:9" x14ac:dyDescent="0.25">
      <c r="I408" t="s">
        <v>16</v>
      </c>
    </row>
    <row r="409" spans="9:9" x14ac:dyDescent="0.25">
      <c r="I409" t="s">
        <v>16</v>
      </c>
    </row>
    <row r="410" spans="9:9" x14ac:dyDescent="0.25">
      <c r="I410" t="s">
        <v>16</v>
      </c>
    </row>
    <row r="411" spans="9:9" x14ac:dyDescent="0.25">
      <c r="I411" t="s">
        <v>16</v>
      </c>
    </row>
    <row r="412" spans="9:9" x14ac:dyDescent="0.25">
      <c r="I412" t="s">
        <v>16</v>
      </c>
    </row>
    <row r="413" spans="9:9" x14ac:dyDescent="0.25">
      <c r="I413" t="s">
        <v>16</v>
      </c>
    </row>
    <row r="414" spans="9:9" x14ac:dyDescent="0.25">
      <c r="I414" t="s">
        <v>16</v>
      </c>
    </row>
    <row r="415" spans="9:9" x14ac:dyDescent="0.25">
      <c r="I415" t="s">
        <v>16</v>
      </c>
    </row>
    <row r="416" spans="9:9" x14ac:dyDescent="0.25">
      <c r="I416" t="s">
        <v>16</v>
      </c>
    </row>
    <row r="417" spans="9:9" x14ac:dyDescent="0.25">
      <c r="I417" t="s">
        <v>16</v>
      </c>
    </row>
    <row r="418" spans="9:9" x14ac:dyDescent="0.25">
      <c r="I418" t="s">
        <v>16</v>
      </c>
    </row>
    <row r="419" spans="9:9" x14ac:dyDescent="0.25">
      <c r="I419" t="s">
        <v>16</v>
      </c>
    </row>
    <row r="420" spans="9:9" x14ac:dyDescent="0.25">
      <c r="I420" t="s">
        <v>16</v>
      </c>
    </row>
    <row r="421" spans="9:9" x14ac:dyDescent="0.25">
      <c r="I421" t="s">
        <v>16</v>
      </c>
    </row>
    <row r="422" spans="9:9" x14ac:dyDescent="0.25">
      <c r="I422" t="s">
        <v>16</v>
      </c>
    </row>
    <row r="423" spans="9:9" x14ac:dyDescent="0.25">
      <c r="I423" t="s">
        <v>16</v>
      </c>
    </row>
    <row r="424" spans="9:9" x14ac:dyDescent="0.25">
      <c r="I424" t="s">
        <v>16</v>
      </c>
    </row>
    <row r="425" spans="9:9" x14ac:dyDescent="0.25">
      <c r="I425" t="s">
        <v>16</v>
      </c>
    </row>
    <row r="426" spans="9:9" x14ac:dyDescent="0.25">
      <c r="I426" t="s">
        <v>16</v>
      </c>
    </row>
    <row r="427" spans="9:9" x14ac:dyDescent="0.25">
      <c r="I427" t="s">
        <v>16</v>
      </c>
    </row>
    <row r="428" spans="9:9" x14ac:dyDescent="0.25">
      <c r="I428" t="s">
        <v>16</v>
      </c>
    </row>
    <row r="429" spans="9:9" x14ac:dyDescent="0.25">
      <c r="I429" t="s">
        <v>16</v>
      </c>
    </row>
    <row r="430" spans="9:9" x14ac:dyDescent="0.25">
      <c r="I430" t="s">
        <v>16</v>
      </c>
    </row>
    <row r="431" spans="9:9" x14ac:dyDescent="0.25">
      <c r="I431" t="s">
        <v>16</v>
      </c>
    </row>
    <row r="432" spans="9:9" x14ac:dyDescent="0.25">
      <c r="I432" t="s">
        <v>16</v>
      </c>
    </row>
    <row r="433" spans="9:9" x14ac:dyDescent="0.25">
      <c r="I433" t="s">
        <v>16</v>
      </c>
    </row>
    <row r="434" spans="9:9" x14ac:dyDescent="0.25">
      <c r="I434" t="s">
        <v>16</v>
      </c>
    </row>
    <row r="435" spans="9:9" x14ac:dyDescent="0.25">
      <c r="I435" t="s">
        <v>16</v>
      </c>
    </row>
    <row r="436" spans="9:9" x14ac:dyDescent="0.25">
      <c r="I436" t="s">
        <v>16</v>
      </c>
    </row>
    <row r="437" spans="9:9" x14ac:dyDescent="0.25">
      <c r="I437" t="s">
        <v>16</v>
      </c>
    </row>
    <row r="438" spans="9:9" x14ac:dyDescent="0.25">
      <c r="I438" t="s">
        <v>16</v>
      </c>
    </row>
    <row r="439" spans="9:9" x14ac:dyDescent="0.25">
      <c r="I439" t="s">
        <v>16</v>
      </c>
    </row>
    <row r="440" spans="9:9" x14ac:dyDescent="0.25">
      <c r="I440" t="s">
        <v>16</v>
      </c>
    </row>
    <row r="441" spans="9:9" x14ac:dyDescent="0.25">
      <c r="I441" t="s">
        <v>16</v>
      </c>
    </row>
    <row r="442" spans="9:9" x14ac:dyDescent="0.25">
      <c r="I442" t="s">
        <v>16</v>
      </c>
    </row>
    <row r="443" spans="9:9" x14ac:dyDescent="0.25">
      <c r="I443" t="s">
        <v>16</v>
      </c>
    </row>
    <row r="444" spans="9:9" x14ac:dyDescent="0.25">
      <c r="I444" t="s">
        <v>16</v>
      </c>
    </row>
    <row r="445" spans="9:9" x14ac:dyDescent="0.25">
      <c r="I445" t="s">
        <v>16</v>
      </c>
    </row>
    <row r="446" spans="9:9" x14ac:dyDescent="0.25">
      <c r="I446" t="s">
        <v>16</v>
      </c>
    </row>
    <row r="447" spans="9:9" x14ac:dyDescent="0.25">
      <c r="I447" t="s">
        <v>16</v>
      </c>
    </row>
    <row r="448" spans="9:9" x14ac:dyDescent="0.25">
      <c r="I448" t="s">
        <v>16</v>
      </c>
    </row>
    <row r="449" spans="9:9" x14ac:dyDescent="0.25">
      <c r="I449" t="s">
        <v>16</v>
      </c>
    </row>
    <row r="450" spans="9:9" x14ac:dyDescent="0.25">
      <c r="I450" t="s">
        <v>16</v>
      </c>
    </row>
    <row r="451" spans="9:9" x14ac:dyDescent="0.25">
      <c r="I451" t="s">
        <v>16</v>
      </c>
    </row>
    <row r="452" spans="9:9" x14ac:dyDescent="0.25">
      <c r="I452" t="s">
        <v>16</v>
      </c>
    </row>
    <row r="453" spans="9:9" x14ac:dyDescent="0.25">
      <c r="I453" t="s">
        <v>16</v>
      </c>
    </row>
    <row r="454" spans="9:9" x14ac:dyDescent="0.25">
      <c r="I454" t="s">
        <v>16</v>
      </c>
    </row>
    <row r="455" spans="9:9" x14ac:dyDescent="0.25">
      <c r="I455" t="s">
        <v>16</v>
      </c>
    </row>
    <row r="456" spans="9:9" x14ac:dyDescent="0.25">
      <c r="I456" t="s">
        <v>16</v>
      </c>
    </row>
    <row r="457" spans="9:9" x14ac:dyDescent="0.25">
      <c r="I457" t="s">
        <v>16</v>
      </c>
    </row>
    <row r="458" spans="9:9" x14ac:dyDescent="0.25">
      <c r="I458" t="s">
        <v>16</v>
      </c>
    </row>
    <row r="459" spans="9:9" x14ac:dyDescent="0.25">
      <c r="I459" t="s">
        <v>16</v>
      </c>
    </row>
    <row r="460" spans="9:9" x14ac:dyDescent="0.25">
      <c r="I460" t="s">
        <v>16</v>
      </c>
    </row>
    <row r="461" spans="9:9" x14ac:dyDescent="0.25">
      <c r="I461" t="s">
        <v>16</v>
      </c>
    </row>
    <row r="462" spans="9:9" x14ac:dyDescent="0.25">
      <c r="I462" t="s">
        <v>16</v>
      </c>
    </row>
    <row r="463" spans="9:9" x14ac:dyDescent="0.25">
      <c r="I463" t="s">
        <v>16</v>
      </c>
    </row>
    <row r="464" spans="9:9" x14ac:dyDescent="0.25">
      <c r="I464" t="s">
        <v>16</v>
      </c>
    </row>
    <row r="465" spans="9:9" x14ac:dyDescent="0.25">
      <c r="I465" t="s">
        <v>16</v>
      </c>
    </row>
    <row r="466" spans="9:9" x14ac:dyDescent="0.25">
      <c r="I466" t="s">
        <v>16</v>
      </c>
    </row>
    <row r="467" spans="9:9" x14ac:dyDescent="0.25">
      <c r="I467" t="s">
        <v>16</v>
      </c>
    </row>
    <row r="468" spans="9:9" x14ac:dyDescent="0.25">
      <c r="I468" t="s">
        <v>16</v>
      </c>
    </row>
    <row r="469" spans="9:9" x14ac:dyDescent="0.25">
      <c r="I469" t="s">
        <v>16</v>
      </c>
    </row>
    <row r="470" spans="9:9" x14ac:dyDescent="0.25">
      <c r="I470" t="s">
        <v>16</v>
      </c>
    </row>
    <row r="471" spans="9:9" x14ac:dyDescent="0.25">
      <c r="I471" t="s">
        <v>16</v>
      </c>
    </row>
    <row r="472" spans="9:9" x14ac:dyDescent="0.25">
      <c r="I472" t="s">
        <v>16</v>
      </c>
    </row>
    <row r="473" spans="9:9" x14ac:dyDescent="0.25">
      <c r="I473" t="s">
        <v>16</v>
      </c>
    </row>
    <row r="474" spans="9:9" x14ac:dyDescent="0.25">
      <c r="I474" t="s">
        <v>16</v>
      </c>
    </row>
    <row r="475" spans="9:9" x14ac:dyDescent="0.25">
      <c r="I475" t="s">
        <v>16</v>
      </c>
    </row>
    <row r="476" spans="9:9" x14ac:dyDescent="0.25">
      <c r="I476" t="s">
        <v>16</v>
      </c>
    </row>
    <row r="477" spans="9:9" x14ac:dyDescent="0.25">
      <c r="I477" t="s">
        <v>16</v>
      </c>
    </row>
    <row r="478" spans="9:9" x14ac:dyDescent="0.25">
      <c r="I478" t="s">
        <v>16</v>
      </c>
    </row>
    <row r="479" spans="9:9" x14ac:dyDescent="0.25">
      <c r="I479" t="s">
        <v>16</v>
      </c>
    </row>
    <row r="480" spans="9:9" x14ac:dyDescent="0.25">
      <c r="I480" t="s">
        <v>16</v>
      </c>
    </row>
    <row r="481" spans="9:9" x14ac:dyDescent="0.25">
      <c r="I481" t="s">
        <v>16</v>
      </c>
    </row>
    <row r="482" spans="9:9" x14ac:dyDescent="0.25">
      <c r="I482" t="s">
        <v>16</v>
      </c>
    </row>
    <row r="483" spans="9:9" x14ac:dyDescent="0.25">
      <c r="I483" t="s">
        <v>16</v>
      </c>
    </row>
    <row r="484" spans="9:9" x14ac:dyDescent="0.25">
      <c r="I484" t="s">
        <v>16</v>
      </c>
    </row>
    <row r="485" spans="9:9" x14ac:dyDescent="0.25">
      <c r="I485" t="s">
        <v>16</v>
      </c>
    </row>
    <row r="486" spans="9:9" x14ac:dyDescent="0.25">
      <c r="I486" t="s">
        <v>16</v>
      </c>
    </row>
    <row r="487" spans="9:9" x14ac:dyDescent="0.25">
      <c r="I487" t="s">
        <v>16</v>
      </c>
    </row>
    <row r="488" spans="9:9" x14ac:dyDescent="0.25">
      <c r="I488" t="s">
        <v>16</v>
      </c>
    </row>
    <row r="489" spans="9:9" x14ac:dyDescent="0.25">
      <c r="I489" t="s">
        <v>16</v>
      </c>
    </row>
    <row r="490" spans="9:9" x14ac:dyDescent="0.25">
      <c r="I490" t="s">
        <v>16</v>
      </c>
    </row>
    <row r="491" spans="9:9" x14ac:dyDescent="0.25">
      <c r="I491" t="s">
        <v>16</v>
      </c>
    </row>
    <row r="492" spans="9:9" x14ac:dyDescent="0.25">
      <c r="I492" t="s">
        <v>16</v>
      </c>
    </row>
    <row r="493" spans="9:9" x14ac:dyDescent="0.25">
      <c r="I493" t="s">
        <v>16</v>
      </c>
    </row>
    <row r="494" spans="9:9" x14ac:dyDescent="0.25">
      <c r="I494" t="s">
        <v>16</v>
      </c>
    </row>
    <row r="495" spans="9:9" x14ac:dyDescent="0.25">
      <c r="I495" t="s">
        <v>16</v>
      </c>
    </row>
    <row r="496" spans="9:9" x14ac:dyDescent="0.25">
      <c r="I496" t="s">
        <v>16</v>
      </c>
    </row>
    <row r="497" spans="9:9" x14ac:dyDescent="0.25">
      <c r="I497" t="s">
        <v>16</v>
      </c>
    </row>
    <row r="498" spans="9:9" x14ac:dyDescent="0.25">
      <c r="I498" t="s">
        <v>16</v>
      </c>
    </row>
    <row r="499" spans="9:9" x14ac:dyDescent="0.25">
      <c r="I499" t="s">
        <v>16</v>
      </c>
    </row>
    <row r="500" spans="9:9" x14ac:dyDescent="0.25">
      <c r="I500" t="s">
        <v>16</v>
      </c>
    </row>
    <row r="501" spans="9:9" x14ac:dyDescent="0.25">
      <c r="I501" t="s">
        <v>16</v>
      </c>
    </row>
    <row r="502" spans="9:9" x14ac:dyDescent="0.25">
      <c r="I502" t="s">
        <v>16</v>
      </c>
    </row>
    <row r="503" spans="9:9" x14ac:dyDescent="0.25">
      <c r="I503" t="s">
        <v>16</v>
      </c>
    </row>
    <row r="504" spans="9:9" x14ac:dyDescent="0.25">
      <c r="I504" t="s">
        <v>16</v>
      </c>
    </row>
    <row r="505" spans="9:9" x14ac:dyDescent="0.25">
      <c r="I505" t="s">
        <v>16</v>
      </c>
    </row>
    <row r="506" spans="9:9" x14ac:dyDescent="0.25">
      <c r="I506" t="s">
        <v>16</v>
      </c>
    </row>
    <row r="507" spans="9:9" x14ac:dyDescent="0.25">
      <c r="I507" t="s">
        <v>16</v>
      </c>
    </row>
    <row r="508" spans="9:9" x14ac:dyDescent="0.25">
      <c r="I508" t="s">
        <v>16</v>
      </c>
    </row>
    <row r="509" spans="9:9" x14ac:dyDescent="0.25">
      <c r="I509" t="s">
        <v>16</v>
      </c>
    </row>
    <row r="510" spans="9:9" x14ac:dyDescent="0.25">
      <c r="I510" t="s">
        <v>16</v>
      </c>
    </row>
    <row r="511" spans="9:9" x14ac:dyDescent="0.25">
      <c r="I511" t="s">
        <v>16</v>
      </c>
    </row>
    <row r="512" spans="9:9" x14ac:dyDescent="0.25">
      <c r="I512" t="s">
        <v>16</v>
      </c>
    </row>
    <row r="513" spans="9:9" x14ac:dyDescent="0.25">
      <c r="I513" t="s">
        <v>16</v>
      </c>
    </row>
    <row r="514" spans="9:9" x14ac:dyDescent="0.25">
      <c r="I514" t="s">
        <v>16</v>
      </c>
    </row>
    <row r="515" spans="9:9" x14ac:dyDescent="0.25">
      <c r="I515" t="s">
        <v>16</v>
      </c>
    </row>
    <row r="516" spans="9:9" x14ac:dyDescent="0.25">
      <c r="I516" t="s">
        <v>16</v>
      </c>
    </row>
    <row r="517" spans="9:9" x14ac:dyDescent="0.25">
      <c r="I517" t="s">
        <v>16</v>
      </c>
    </row>
    <row r="518" spans="9:9" x14ac:dyDescent="0.25">
      <c r="I518" t="s">
        <v>16</v>
      </c>
    </row>
    <row r="519" spans="9:9" x14ac:dyDescent="0.25">
      <c r="I519" t="s">
        <v>16</v>
      </c>
    </row>
    <row r="520" spans="9:9" x14ac:dyDescent="0.25">
      <c r="I520" t="s">
        <v>16</v>
      </c>
    </row>
    <row r="521" spans="9:9" x14ac:dyDescent="0.25">
      <c r="I521" t="s">
        <v>16</v>
      </c>
    </row>
    <row r="522" spans="9:9" x14ac:dyDescent="0.25">
      <c r="I522" t="s">
        <v>16</v>
      </c>
    </row>
    <row r="523" spans="9:9" x14ac:dyDescent="0.25">
      <c r="I523" t="s">
        <v>16</v>
      </c>
    </row>
    <row r="524" spans="9:9" x14ac:dyDescent="0.25">
      <c r="I524" t="s">
        <v>16</v>
      </c>
    </row>
    <row r="525" spans="9:9" x14ac:dyDescent="0.25">
      <c r="I525" t="s">
        <v>16</v>
      </c>
    </row>
    <row r="526" spans="9:9" x14ac:dyDescent="0.25">
      <c r="I526" t="s">
        <v>16</v>
      </c>
    </row>
    <row r="527" spans="9:9" x14ac:dyDescent="0.25">
      <c r="I527" t="s">
        <v>16</v>
      </c>
    </row>
    <row r="528" spans="9:9" x14ac:dyDescent="0.25">
      <c r="I528" t="s">
        <v>16</v>
      </c>
    </row>
    <row r="529" spans="9:9" x14ac:dyDescent="0.25">
      <c r="I529" t="s">
        <v>16</v>
      </c>
    </row>
    <row r="530" spans="9:9" x14ac:dyDescent="0.25">
      <c r="I530" t="s">
        <v>16</v>
      </c>
    </row>
    <row r="531" spans="9:9" x14ac:dyDescent="0.25">
      <c r="I531" t="s">
        <v>16</v>
      </c>
    </row>
    <row r="532" spans="9:9" x14ac:dyDescent="0.25">
      <c r="I532" t="s">
        <v>16</v>
      </c>
    </row>
    <row r="533" spans="9:9" x14ac:dyDescent="0.25">
      <c r="I533" t="s">
        <v>16</v>
      </c>
    </row>
    <row r="534" spans="9:9" x14ac:dyDescent="0.25">
      <c r="I534" t="s">
        <v>16</v>
      </c>
    </row>
    <row r="535" spans="9:9" x14ac:dyDescent="0.25">
      <c r="I535" t="s">
        <v>16</v>
      </c>
    </row>
    <row r="536" spans="9:9" x14ac:dyDescent="0.25">
      <c r="I536" t="s">
        <v>16</v>
      </c>
    </row>
    <row r="537" spans="9:9" x14ac:dyDescent="0.25">
      <c r="I537" t="s">
        <v>16</v>
      </c>
    </row>
    <row r="538" spans="9:9" x14ac:dyDescent="0.25">
      <c r="I538" t="s">
        <v>16</v>
      </c>
    </row>
    <row r="539" spans="9:9" x14ac:dyDescent="0.25">
      <c r="I539" t="s">
        <v>16</v>
      </c>
    </row>
    <row r="540" spans="9:9" x14ac:dyDescent="0.25">
      <c r="I540" t="s">
        <v>16</v>
      </c>
    </row>
    <row r="541" spans="9:9" x14ac:dyDescent="0.25">
      <c r="I541" t="s">
        <v>16</v>
      </c>
    </row>
    <row r="542" spans="9:9" x14ac:dyDescent="0.25">
      <c r="I542" t="s">
        <v>16</v>
      </c>
    </row>
    <row r="543" spans="9:9" x14ac:dyDescent="0.25">
      <c r="I543" t="s">
        <v>16</v>
      </c>
    </row>
    <row r="544" spans="9:9" x14ac:dyDescent="0.25">
      <c r="I544" t="s">
        <v>16</v>
      </c>
    </row>
    <row r="545" spans="9:9" x14ac:dyDescent="0.25">
      <c r="I545" t="s">
        <v>16</v>
      </c>
    </row>
    <row r="546" spans="9:9" x14ac:dyDescent="0.25">
      <c r="I546" t="s">
        <v>16</v>
      </c>
    </row>
    <row r="547" spans="9:9" x14ac:dyDescent="0.25">
      <c r="I547" t="s">
        <v>16</v>
      </c>
    </row>
    <row r="548" spans="9:9" x14ac:dyDescent="0.25">
      <c r="I548" t="s">
        <v>16</v>
      </c>
    </row>
    <row r="549" spans="9:9" x14ac:dyDescent="0.25">
      <c r="I549" t="s">
        <v>16</v>
      </c>
    </row>
    <row r="550" spans="9:9" x14ac:dyDescent="0.25">
      <c r="I550" t="s">
        <v>16</v>
      </c>
    </row>
    <row r="551" spans="9:9" x14ac:dyDescent="0.25">
      <c r="I551" t="s">
        <v>16</v>
      </c>
    </row>
    <row r="552" spans="9:9" x14ac:dyDescent="0.25">
      <c r="I552" t="s">
        <v>16</v>
      </c>
    </row>
    <row r="553" spans="9:9" x14ac:dyDescent="0.25">
      <c r="I553" t="s">
        <v>16</v>
      </c>
    </row>
    <row r="554" spans="9:9" x14ac:dyDescent="0.25">
      <c r="I554" t="s">
        <v>16</v>
      </c>
    </row>
    <row r="555" spans="9:9" x14ac:dyDescent="0.25">
      <c r="I555" t="s">
        <v>16</v>
      </c>
    </row>
    <row r="556" spans="9:9" x14ac:dyDescent="0.25">
      <c r="I556" t="s">
        <v>16</v>
      </c>
    </row>
    <row r="557" spans="9:9" x14ac:dyDescent="0.25">
      <c r="I557" t="s">
        <v>16</v>
      </c>
    </row>
    <row r="558" spans="9:9" x14ac:dyDescent="0.25">
      <c r="I558" t="s">
        <v>16</v>
      </c>
    </row>
    <row r="559" spans="9:9" x14ac:dyDescent="0.25">
      <c r="I559" t="s">
        <v>16</v>
      </c>
    </row>
    <row r="560" spans="9:9" x14ac:dyDescent="0.25">
      <c r="I560" t="s">
        <v>16</v>
      </c>
    </row>
    <row r="561" spans="9:9" x14ac:dyDescent="0.25">
      <c r="I561" t="s">
        <v>16</v>
      </c>
    </row>
    <row r="562" spans="9:9" x14ac:dyDescent="0.25">
      <c r="I562" t="s">
        <v>16</v>
      </c>
    </row>
    <row r="563" spans="9:9" x14ac:dyDescent="0.25">
      <c r="I563" t="s">
        <v>16</v>
      </c>
    </row>
    <row r="564" spans="9:9" x14ac:dyDescent="0.25">
      <c r="I564" t="s">
        <v>16</v>
      </c>
    </row>
    <row r="565" spans="9:9" x14ac:dyDescent="0.25">
      <c r="I565" t="s">
        <v>16</v>
      </c>
    </row>
    <row r="566" spans="9:9" x14ac:dyDescent="0.25">
      <c r="I566" t="s">
        <v>16</v>
      </c>
    </row>
    <row r="567" spans="9:9" x14ac:dyDescent="0.25">
      <c r="I567" t="s">
        <v>16</v>
      </c>
    </row>
    <row r="568" spans="9:9" x14ac:dyDescent="0.25">
      <c r="I568" t="s">
        <v>16</v>
      </c>
    </row>
    <row r="569" spans="9:9" x14ac:dyDescent="0.25">
      <c r="I569" t="s">
        <v>16</v>
      </c>
    </row>
    <row r="570" spans="9:9" x14ac:dyDescent="0.25">
      <c r="I570" t="s">
        <v>16</v>
      </c>
    </row>
    <row r="571" spans="9:9" x14ac:dyDescent="0.25">
      <c r="I571" t="s">
        <v>16</v>
      </c>
    </row>
    <row r="572" spans="9:9" x14ac:dyDescent="0.25">
      <c r="I572" t="s">
        <v>16</v>
      </c>
    </row>
    <row r="573" spans="9:9" x14ac:dyDescent="0.25">
      <c r="I573" t="s">
        <v>16</v>
      </c>
    </row>
    <row r="574" spans="9:9" x14ac:dyDescent="0.25">
      <c r="I574" t="s">
        <v>16</v>
      </c>
    </row>
    <row r="575" spans="9:9" x14ac:dyDescent="0.25">
      <c r="I575" t="s">
        <v>16</v>
      </c>
    </row>
    <row r="576" spans="9:9" x14ac:dyDescent="0.25">
      <c r="I576" t="s">
        <v>16</v>
      </c>
    </row>
    <row r="577" spans="9:9" x14ac:dyDescent="0.25">
      <c r="I577" t="s">
        <v>16</v>
      </c>
    </row>
    <row r="578" spans="9:9" x14ac:dyDescent="0.25">
      <c r="I578" t="s">
        <v>16</v>
      </c>
    </row>
    <row r="579" spans="9:9" x14ac:dyDescent="0.25">
      <c r="I579" t="s">
        <v>16</v>
      </c>
    </row>
    <row r="580" spans="9:9" x14ac:dyDescent="0.25">
      <c r="I580" t="s">
        <v>16</v>
      </c>
    </row>
    <row r="581" spans="9:9" x14ac:dyDescent="0.25">
      <c r="I581" t="s">
        <v>16</v>
      </c>
    </row>
    <row r="582" spans="9:9" x14ac:dyDescent="0.25">
      <c r="I582" t="s">
        <v>16</v>
      </c>
    </row>
    <row r="583" spans="9:9" x14ac:dyDescent="0.25">
      <c r="I583" t="s">
        <v>16</v>
      </c>
    </row>
    <row r="584" spans="9:9" x14ac:dyDescent="0.25">
      <c r="I584" t="s">
        <v>16</v>
      </c>
    </row>
    <row r="585" spans="9:9" x14ac:dyDescent="0.25">
      <c r="I585" t="s">
        <v>16</v>
      </c>
    </row>
    <row r="586" spans="9:9" x14ac:dyDescent="0.25">
      <c r="I586" t="s">
        <v>16</v>
      </c>
    </row>
    <row r="587" spans="9:9" x14ac:dyDescent="0.25">
      <c r="I587" t="s">
        <v>16</v>
      </c>
    </row>
    <row r="588" spans="9:9" x14ac:dyDescent="0.25">
      <c r="I588" t="s">
        <v>16</v>
      </c>
    </row>
    <row r="589" spans="9:9" x14ac:dyDescent="0.25">
      <c r="I589" t="s">
        <v>16</v>
      </c>
    </row>
    <row r="590" spans="9:9" x14ac:dyDescent="0.25">
      <c r="I590" t="s">
        <v>16</v>
      </c>
    </row>
    <row r="591" spans="9:9" x14ac:dyDescent="0.25">
      <c r="I591" t="s">
        <v>16</v>
      </c>
    </row>
    <row r="592" spans="9:9" x14ac:dyDescent="0.25">
      <c r="I592" t="s">
        <v>16</v>
      </c>
    </row>
    <row r="593" spans="9:9" x14ac:dyDescent="0.25">
      <c r="I593" t="s">
        <v>16</v>
      </c>
    </row>
    <row r="594" spans="9:9" x14ac:dyDescent="0.25">
      <c r="I594" t="s">
        <v>16</v>
      </c>
    </row>
    <row r="595" spans="9:9" x14ac:dyDescent="0.25">
      <c r="I595" t="s">
        <v>16</v>
      </c>
    </row>
    <row r="596" spans="9:9" x14ac:dyDescent="0.25">
      <c r="I596" t="s">
        <v>16</v>
      </c>
    </row>
    <row r="597" spans="9:9" x14ac:dyDescent="0.25">
      <c r="I597" t="s">
        <v>16</v>
      </c>
    </row>
    <row r="598" spans="9:9" x14ac:dyDescent="0.25">
      <c r="I598" t="s">
        <v>16</v>
      </c>
    </row>
    <row r="599" spans="9:9" x14ac:dyDescent="0.25">
      <c r="I599" t="s">
        <v>16</v>
      </c>
    </row>
    <row r="600" spans="9:9" x14ac:dyDescent="0.25">
      <c r="I600" t="s">
        <v>16</v>
      </c>
    </row>
    <row r="601" spans="9:9" x14ac:dyDescent="0.25">
      <c r="I601" t="s">
        <v>16</v>
      </c>
    </row>
    <row r="602" spans="9:9" x14ac:dyDescent="0.25">
      <c r="I602" t="s">
        <v>16</v>
      </c>
    </row>
    <row r="603" spans="9:9" x14ac:dyDescent="0.25">
      <c r="I603" t="s">
        <v>16</v>
      </c>
    </row>
    <row r="604" spans="9:9" x14ac:dyDescent="0.25">
      <c r="I604" t="s">
        <v>16</v>
      </c>
    </row>
    <row r="605" spans="9:9" x14ac:dyDescent="0.25">
      <c r="I605" t="s">
        <v>16</v>
      </c>
    </row>
    <row r="606" spans="9:9" x14ac:dyDescent="0.25">
      <c r="I606" t="s">
        <v>16</v>
      </c>
    </row>
    <row r="607" spans="9:9" x14ac:dyDescent="0.25">
      <c r="I607" t="s">
        <v>16</v>
      </c>
    </row>
    <row r="608" spans="9:9" x14ac:dyDescent="0.25">
      <c r="I608" t="s">
        <v>16</v>
      </c>
    </row>
    <row r="609" spans="9:9" x14ac:dyDescent="0.25">
      <c r="I609" t="s">
        <v>16</v>
      </c>
    </row>
    <row r="610" spans="9:9" x14ac:dyDescent="0.25">
      <c r="I610" t="s">
        <v>16</v>
      </c>
    </row>
    <row r="611" spans="9:9" x14ac:dyDescent="0.25">
      <c r="I611" t="s">
        <v>16</v>
      </c>
    </row>
    <row r="612" spans="9:9" x14ac:dyDescent="0.25">
      <c r="I612" t="s">
        <v>16</v>
      </c>
    </row>
    <row r="613" spans="9:9" x14ac:dyDescent="0.25">
      <c r="I613" t="s">
        <v>16</v>
      </c>
    </row>
    <row r="614" spans="9:9" x14ac:dyDescent="0.25">
      <c r="I614" t="s">
        <v>16</v>
      </c>
    </row>
    <row r="615" spans="9:9" x14ac:dyDescent="0.25">
      <c r="I615" t="s">
        <v>16</v>
      </c>
    </row>
    <row r="616" spans="9:9" x14ac:dyDescent="0.25">
      <c r="I616" t="s">
        <v>16</v>
      </c>
    </row>
    <row r="617" spans="9:9" x14ac:dyDescent="0.25">
      <c r="I617" t="s">
        <v>16</v>
      </c>
    </row>
    <row r="618" spans="9:9" x14ac:dyDescent="0.25">
      <c r="I618" t="s">
        <v>16</v>
      </c>
    </row>
    <row r="619" spans="9:9" x14ac:dyDescent="0.25">
      <c r="I619" t="s">
        <v>16</v>
      </c>
    </row>
    <row r="620" spans="9:9" x14ac:dyDescent="0.25">
      <c r="I620" t="s">
        <v>16</v>
      </c>
    </row>
    <row r="621" spans="9:9" x14ac:dyDescent="0.25">
      <c r="I621" t="s">
        <v>16</v>
      </c>
    </row>
    <row r="622" spans="9:9" x14ac:dyDescent="0.25">
      <c r="I622" t="s">
        <v>16</v>
      </c>
    </row>
    <row r="623" spans="9:9" x14ac:dyDescent="0.25">
      <c r="I623" t="s">
        <v>16</v>
      </c>
    </row>
    <row r="624" spans="9:9" x14ac:dyDescent="0.25">
      <c r="I624" t="s">
        <v>16</v>
      </c>
    </row>
    <row r="625" spans="9:9" x14ac:dyDescent="0.25">
      <c r="I625" t="s">
        <v>16</v>
      </c>
    </row>
    <row r="626" spans="9:9" x14ac:dyDescent="0.25">
      <c r="I626" t="s">
        <v>16</v>
      </c>
    </row>
    <row r="627" spans="9:9" x14ac:dyDescent="0.25">
      <c r="I627" t="s">
        <v>16</v>
      </c>
    </row>
    <row r="628" spans="9:9" x14ac:dyDescent="0.25">
      <c r="I628" t="s">
        <v>16</v>
      </c>
    </row>
    <row r="629" spans="9:9" x14ac:dyDescent="0.25">
      <c r="I629" t="s">
        <v>16</v>
      </c>
    </row>
    <row r="630" spans="9:9" x14ac:dyDescent="0.25">
      <c r="I630" t="s">
        <v>16</v>
      </c>
    </row>
    <row r="631" spans="9:9" x14ac:dyDescent="0.25">
      <c r="I631" t="s">
        <v>16</v>
      </c>
    </row>
    <row r="632" spans="9:9" x14ac:dyDescent="0.25">
      <c r="I632" t="s">
        <v>16</v>
      </c>
    </row>
    <row r="633" spans="9:9" x14ac:dyDescent="0.25">
      <c r="I633" t="s">
        <v>16</v>
      </c>
    </row>
    <row r="634" spans="9:9" x14ac:dyDescent="0.25">
      <c r="I634" t="s">
        <v>16</v>
      </c>
    </row>
    <row r="635" spans="9:9" x14ac:dyDescent="0.25">
      <c r="I635" t="s">
        <v>16</v>
      </c>
    </row>
    <row r="636" spans="9:9" x14ac:dyDescent="0.25">
      <c r="I636" t="s">
        <v>16</v>
      </c>
    </row>
    <row r="637" spans="9:9" x14ac:dyDescent="0.25">
      <c r="I637" t="s">
        <v>16</v>
      </c>
    </row>
    <row r="638" spans="9:9" x14ac:dyDescent="0.25">
      <c r="I638" t="s">
        <v>16</v>
      </c>
    </row>
    <row r="639" spans="9:9" x14ac:dyDescent="0.25">
      <c r="I639" t="s">
        <v>16</v>
      </c>
    </row>
    <row r="640" spans="9:9" x14ac:dyDescent="0.25">
      <c r="I640" t="s">
        <v>16</v>
      </c>
    </row>
    <row r="641" spans="9:9" x14ac:dyDescent="0.25">
      <c r="I641" t="s">
        <v>16</v>
      </c>
    </row>
    <row r="642" spans="9:9" x14ac:dyDescent="0.25">
      <c r="I642" t="s">
        <v>16</v>
      </c>
    </row>
    <row r="643" spans="9:9" x14ac:dyDescent="0.25">
      <c r="I643" t="s">
        <v>16</v>
      </c>
    </row>
    <row r="644" spans="9:9" x14ac:dyDescent="0.25">
      <c r="I644" t="s">
        <v>16</v>
      </c>
    </row>
    <row r="645" spans="9:9" x14ac:dyDescent="0.25">
      <c r="I645" t="s">
        <v>16</v>
      </c>
    </row>
    <row r="646" spans="9:9" x14ac:dyDescent="0.25">
      <c r="I646" t="s">
        <v>16</v>
      </c>
    </row>
    <row r="647" spans="9:9" x14ac:dyDescent="0.25">
      <c r="I647" t="s">
        <v>16</v>
      </c>
    </row>
    <row r="648" spans="9:9" x14ac:dyDescent="0.25">
      <c r="I648" t="s">
        <v>16</v>
      </c>
    </row>
    <row r="649" spans="9:9" x14ac:dyDescent="0.25">
      <c r="I649" t="s">
        <v>16</v>
      </c>
    </row>
    <row r="650" spans="9:9" x14ac:dyDescent="0.25">
      <c r="I650" t="s">
        <v>16</v>
      </c>
    </row>
    <row r="651" spans="9:9" x14ac:dyDescent="0.25">
      <c r="I651" t="s">
        <v>16</v>
      </c>
    </row>
    <row r="652" spans="9:9" x14ac:dyDescent="0.25">
      <c r="I652" t="s">
        <v>16</v>
      </c>
    </row>
    <row r="653" spans="9:9" x14ac:dyDescent="0.25">
      <c r="I653" t="s">
        <v>16</v>
      </c>
    </row>
    <row r="654" spans="9:9" x14ac:dyDescent="0.25">
      <c r="I654" t="s">
        <v>16</v>
      </c>
    </row>
    <row r="655" spans="9:9" x14ac:dyDescent="0.25">
      <c r="I655" t="s">
        <v>16</v>
      </c>
    </row>
    <row r="656" spans="9:9" x14ac:dyDescent="0.25">
      <c r="I656" t="s">
        <v>16</v>
      </c>
    </row>
    <row r="657" spans="9:9" x14ac:dyDescent="0.25">
      <c r="I657" t="s">
        <v>16</v>
      </c>
    </row>
    <row r="658" spans="9:9" x14ac:dyDescent="0.25">
      <c r="I658" t="s">
        <v>16</v>
      </c>
    </row>
    <row r="659" spans="9:9" x14ac:dyDescent="0.25">
      <c r="I659" t="s">
        <v>16</v>
      </c>
    </row>
    <row r="660" spans="9:9" x14ac:dyDescent="0.25">
      <c r="I660" t="s">
        <v>16</v>
      </c>
    </row>
    <row r="661" spans="9:9" x14ac:dyDescent="0.25">
      <c r="I661" t="s">
        <v>16</v>
      </c>
    </row>
    <row r="662" spans="9:9" x14ac:dyDescent="0.25">
      <c r="I662" t="s">
        <v>16</v>
      </c>
    </row>
    <row r="663" spans="9:9" x14ac:dyDescent="0.25">
      <c r="I663" t="s">
        <v>16</v>
      </c>
    </row>
    <row r="664" spans="9:9" x14ac:dyDescent="0.25">
      <c r="I664" t="s">
        <v>16</v>
      </c>
    </row>
    <row r="665" spans="9:9" x14ac:dyDescent="0.25">
      <c r="I665" t="s">
        <v>16</v>
      </c>
    </row>
    <row r="666" spans="9:9" x14ac:dyDescent="0.25">
      <c r="I666" t="s">
        <v>16</v>
      </c>
    </row>
    <row r="667" spans="9:9" x14ac:dyDescent="0.25">
      <c r="I667" t="s">
        <v>16</v>
      </c>
    </row>
    <row r="668" spans="9:9" x14ac:dyDescent="0.25">
      <c r="I668" t="s">
        <v>16</v>
      </c>
    </row>
    <row r="669" spans="9:9" x14ac:dyDescent="0.25">
      <c r="I669" t="s">
        <v>16</v>
      </c>
    </row>
    <row r="670" spans="9:9" x14ac:dyDescent="0.25">
      <c r="I670" t="s">
        <v>16</v>
      </c>
    </row>
    <row r="671" spans="9:9" x14ac:dyDescent="0.25">
      <c r="I671" t="s">
        <v>16</v>
      </c>
    </row>
    <row r="672" spans="9:9" x14ac:dyDescent="0.25">
      <c r="I672" t="s">
        <v>16</v>
      </c>
    </row>
    <row r="673" spans="9:9" x14ac:dyDescent="0.25">
      <c r="I673" t="s">
        <v>16</v>
      </c>
    </row>
    <row r="674" spans="9:9" x14ac:dyDescent="0.25">
      <c r="I674" t="s">
        <v>16</v>
      </c>
    </row>
    <row r="675" spans="9:9" x14ac:dyDescent="0.25">
      <c r="I675" t="s">
        <v>16</v>
      </c>
    </row>
    <row r="676" spans="9:9" x14ac:dyDescent="0.25">
      <c r="I676" t="s">
        <v>16</v>
      </c>
    </row>
    <row r="677" spans="9:9" x14ac:dyDescent="0.25">
      <c r="I677" t="s">
        <v>16</v>
      </c>
    </row>
    <row r="678" spans="9:9" x14ac:dyDescent="0.25">
      <c r="I678" t="s">
        <v>16</v>
      </c>
    </row>
    <row r="679" spans="9:9" x14ac:dyDescent="0.25">
      <c r="I679" t="s">
        <v>16</v>
      </c>
    </row>
    <row r="680" spans="9:9" x14ac:dyDescent="0.25">
      <c r="I680" t="s">
        <v>16</v>
      </c>
    </row>
    <row r="681" spans="9:9" x14ac:dyDescent="0.25">
      <c r="I681" t="s">
        <v>16</v>
      </c>
    </row>
    <row r="682" spans="9:9" x14ac:dyDescent="0.25">
      <c r="I682" t="s">
        <v>16</v>
      </c>
    </row>
    <row r="683" spans="9:9" x14ac:dyDescent="0.25">
      <c r="I683" t="s">
        <v>16</v>
      </c>
    </row>
    <row r="684" spans="9:9" x14ac:dyDescent="0.25">
      <c r="I684" t="s">
        <v>16</v>
      </c>
    </row>
    <row r="685" spans="9:9" x14ac:dyDescent="0.25">
      <c r="I685" t="s">
        <v>16</v>
      </c>
    </row>
    <row r="686" spans="9:9" x14ac:dyDescent="0.25">
      <c r="I686" t="s">
        <v>16</v>
      </c>
    </row>
    <row r="687" spans="9:9" x14ac:dyDescent="0.25">
      <c r="I687" t="s">
        <v>16</v>
      </c>
    </row>
    <row r="688" spans="9:9" x14ac:dyDescent="0.25">
      <c r="I688" t="s">
        <v>16</v>
      </c>
    </row>
    <row r="689" spans="9:9" x14ac:dyDescent="0.25">
      <c r="I689" t="s">
        <v>16</v>
      </c>
    </row>
    <row r="690" spans="9:9" x14ac:dyDescent="0.25">
      <c r="I690" t="s">
        <v>16</v>
      </c>
    </row>
    <row r="691" spans="9:9" x14ac:dyDescent="0.25">
      <c r="I691" t="s">
        <v>16</v>
      </c>
    </row>
    <row r="692" spans="9:9" x14ac:dyDescent="0.25">
      <c r="I692" t="s">
        <v>16</v>
      </c>
    </row>
    <row r="693" spans="9:9" x14ac:dyDescent="0.25">
      <c r="I693" t="s">
        <v>16</v>
      </c>
    </row>
    <row r="694" spans="9:9" x14ac:dyDescent="0.25">
      <c r="I694" t="s">
        <v>16</v>
      </c>
    </row>
    <row r="695" spans="9:9" x14ac:dyDescent="0.25">
      <c r="I695" t="s">
        <v>16</v>
      </c>
    </row>
    <row r="696" spans="9:9" x14ac:dyDescent="0.25">
      <c r="I696" t="s">
        <v>16</v>
      </c>
    </row>
    <row r="697" spans="9:9" x14ac:dyDescent="0.25">
      <c r="I697" t="s">
        <v>16</v>
      </c>
    </row>
    <row r="698" spans="9:9" x14ac:dyDescent="0.25">
      <c r="I698" t="s">
        <v>16</v>
      </c>
    </row>
    <row r="699" spans="9:9" x14ac:dyDescent="0.25">
      <c r="I699" t="s">
        <v>16</v>
      </c>
    </row>
    <row r="700" spans="9:9" x14ac:dyDescent="0.25">
      <c r="I700" t="s">
        <v>16</v>
      </c>
    </row>
    <row r="701" spans="9:9" x14ac:dyDescent="0.25">
      <c r="I701" t="s">
        <v>16</v>
      </c>
    </row>
    <row r="702" spans="9:9" x14ac:dyDescent="0.25">
      <c r="I702" t="s">
        <v>16</v>
      </c>
    </row>
    <row r="703" spans="9:9" x14ac:dyDescent="0.25">
      <c r="I703" t="s">
        <v>16</v>
      </c>
    </row>
    <row r="704" spans="9:9" x14ac:dyDescent="0.25">
      <c r="I704" t="s">
        <v>16</v>
      </c>
    </row>
    <row r="705" spans="9:9" x14ac:dyDescent="0.25">
      <c r="I705" t="s">
        <v>16</v>
      </c>
    </row>
    <row r="706" spans="9:9" x14ac:dyDescent="0.25">
      <c r="I706" t="s">
        <v>16</v>
      </c>
    </row>
    <row r="707" spans="9:9" x14ac:dyDescent="0.25">
      <c r="I707" t="s">
        <v>16</v>
      </c>
    </row>
    <row r="708" spans="9:9" x14ac:dyDescent="0.25">
      <c r="I708" t="s">
        <v>16</v>
      </c>
    </row>
    <row r="709" spans="9:9" x14ac:dyDescent="0.25">
      <c r="I709" t="s">
        <v>16</v>
      </c>
    </row>
    <row r="710" spans="9:9" x14ac:dyDescent="0.25">
      <c r="I710" t="s">
        <v>16</v>
      </c>
    </row>
    <row r="711" spans="9:9" x14ac:dyDescent="0.25">
      <c r="I711" t="s">
        <v>16</v>
      </c>
    </row>
    <row r="712" spans="9:9" x14ac:dyDescent="0.25">
      <c r="I712" t="s">
        <v>16</v>
      </c>
    </row>
    <row r="713" spans="9:9" x14ac:dyDescent="0.25">
      <c r="I713" t="s">
        <v>16</v>
      </c>
    </row>
    <row r="714" spans="9:9" x14ac:dyDescent="0.25">
      <c r="I714" t="s">
        <v>16</v>
      </c>
    </row>
    <row r="715" spans="9:9" x14ac:dyDescent="0.25">
      <c r="I715" t="s">
        <v>16</v>
      </c>
    </row>
    <row r="716" spans="9:9" x14ac:dyDescent="0.25">
      <c r="I716" t="s">
        <v>16</v>
      </c>
    </row>
    <row r="717" spans="9:9" x14ac:dyDescent="0.25">
      <c r="I717" t="s">
        <v>16</v>
      </c>
    </row>
    <row r="718" spans="9:9" x14ac:dyDescent="0.25">
      <c r="I718" t="s">
        <v>16</v>
      </c>
    </row>
    <row r="719" spans="9:9" x14ac:dyDescent="0.25">
      <c r="I719" t="s">
        <v>16</v>
      </c>
    </row>
    <row r="720" spans="9:9" x14ac:dyDescent="0.25">
      <c r="I720" t="s">
        <v>16</v>
      </c>
    </row>
    <row r="721" spans="9:9" x14ac:dyDescent="0.25">
      <c r="I721" t="s">
        <v>16</v>
      </c>
    </row>
    <row r="722" spans="9:9" x14ac:dyDescent="0.25">
      <c r="I722" t="s">
        <v>16</v>
      </c>
    </row>
    <row r="723" spans="9:9" x14ac:dyDescent="0.25">
      <c r="I723" t="s">
        <v>16</v>
      </c>
    </row>
    <row r="724" spans="9:9" x14ac:dyDescent="0.25">
      <c r="I724" t="s">
        <v>16</v>
      </c>
    </row>
    <row r="725" spans="9:9" x14ac:dyDescent="0.25">
      <c r="I725" t="s">
        <v>16</v>
      </c>
    </row>
    <row r="726" spans="9:9" x14ac:dyDescent="0.25">
      <c r="I726" t="s">
        <v>16</v>
      </c>
    </row>
    <row r="727" spans="9:9" x14ac:dyDescent="0.25">
      <c r="I727" t="s">
        <v>16</v>
      </c>
    </row>
    <row r="728" spans="9:9" x14ac:dyDescent="0.25">
      <c r="I728" t="s">
        <v>16</v>
      </c>
    </row>
    <row r="729" spans="9:9" x14ac:dyDescent="0.25">
      <c r="I729" t="s">
        <v>16</v>
      </c>
    </row>
    <row r="730" spans="9:9" x14ac:dyDescent="0.25">
      <c r="I730" t="s">
        <v>16</v>
      </c>
    </row>
    <row r="731" spans="9:9" x14ac:dyDescent="0.25">
      <c r="I731" t="s">
        <v>16</v>
      </c>
    </row>
    <row r="732" spans="9:9" x14ac:dyDescent="0.25">
      <c r="I732" t="s">
        <v>16</v>
      </c>
    </row>
    <row r="733" spans="9:9" x14ac:dyDescent="0.25">
      <c r="I733" t="s">
        <v>16</v>
      </c>
    </row>
    <row r="734" spans="9:9" x14ac:dyDescent="0.25">
      <c r="I734" t="s">
        <v>16</v>
      </c>
    </row>
    <row r="735" spans="9:9" x14ac:dyDescent="0.25">
      <c r="I735" t="s">
        <v>16</v>
      </c>
    </row>
    <row r="736" spans="9:9" x14ac:dyDescent="0.25">
      <c r="I736" t="s">
        <v>16</v>
      </c>
    </row>
    <row r="737" spans="9:9" x14ac:dyDescent="0.25">
      <c r="I737" t="s">
        <v>16</v>
      </c>
    </row>
    <row r="738" spans="9:9" x14ac:dyDescent="0.25">
      <c r="I738" t="s">
        <v>16</v>
      </c>
    </row>
    <row r="739" spans="9:9" x14ac:dyDescent="0.25">
      <c r="I739" t="s">
        <v>16</v>
      </c>
    </row>
    <row r="740" spans="9:9" x14ac:dyDescent="0.25">
      <c r="I740" t="s">
        <v>16</v>
      </c>
    </row>
    <row r="741" spans="9:9" x14ac:dyDescent="0.25">
      <c r="I741" t="s">
        <v>16</v>
      </c>
    </row>
    <row r="742" spans="9:9" x14ac:dyDescent="0.25">
      <c r="I742" t="s">
        <v>16</v>
      </c>
    </row>
    <row r="743" spans="9:9" x14ac:dyDescent="0.25">
      <c r="I743" t="s">
        <v>16</v>
      </c>
    </row>
    <row r="744" spans="9:9" x14ac:dyDescent="0.25">
      <c r="I744" t="s">
        <v>16</v>
      </c>
    </row>
    <row r="745" spans="9:9" x14ac:dyDescent="0.25">
      <c r="I745" t="s">
        <v>16</v>
      </c>
    </row>
    <row r="746" spans="9:9" x14ac:dyDescent="0.25">
      <c r="I746" t="s">
        <v>16</v>
      </c>
    </row>
    <row r="747" spans="9:9" x14ac:dyDescent="0.25">
      <c r="I747" t="s">
        <v>16</v>
      </c>
    </row>
    <row r="748" spans="9:9" x14ac:dyDescent="0.25">
      <c r="I748" t="s">
        <v>16</v>
      </c>
    </row>
    <row r="749" spans="9:9" x14ac:dyDescent="0.25">
      <c r="I749" t="s">
        <v>16</v>
      </c>
    </row>
    <row r="750" spans="9:9" x14ac:dyDescent="0.25">
      <c r="I750" t="s">
        <v>16</v>
      </c>
    </row>
    <row r="751" spans="9:9" x14ac:dyDescent="0.25">
      <c r="I751" t="s">
        <v>16</v>
      </c>
    </row>
    <row r="752" spans="9:9" x14ac:dyDescent="0.25">
      <c r="I752" t="s">
        <v>16</v>
      </c>
    </row>
    <row r="753" spans="9:9" x14ac:dyDescent="0.25">
      <c r="I753" t="s">
        <v>16</v>
      </c>
    </row>
    <row r="754" spans="9:9" x14ac:dyDescent="0.25">
      <c r="I754" t="s">
        <v>16</v>
      </c>
    </row>
    <row r="755" spans="9:9" x14ac:dyDescent="0.25">
      <c r="I755" t="s">
        <v>16</v>
      </c>
    </row>
    <row r="756" spans="9:9" x14ac:dyDescent="0.25">
      <c r="I756" t="s">
        <v>16</v>
      </c>
    </row>
    <row r="757" spans="9:9" x14ac:dyDescent="0.25">
      <c r="I757" t="s">
        <v>16</v>
      </c>
    </row>
    <row r="758" spans="9:9" x14ac:dyDescent="0.25">
      <c r="I758" t="s">
        <v>16</v>
      </c>
    </row>
    <row r="759" spans="9:9" x14ac:dyDescent="0.25">
      <c r="I759" t="s">
        <v>16</v>
      </c>
    </row>
    <row r="760" spans="9:9" x14ac:dyDescent="0.25">
      <c r="I760" t="s">
        <v>16</v>
      </c>
    </row>
    <row r="761" spans="9:9" x14ac:dyDescent="0.25">
      <c r="I761" t="s">
        <v>16</v>
      </c>
    </row>
    <row r="762" spans="9:9" x14ac:dyDescent="0.25">
      <c r="I762" t="s">
        <v>16</v>
      </c>
    </row>
    <row r="763" spans="9:9" x14ac:dyDescent="0.25">
      <c r="I763" t="s">
        <v>16</v>
      </c>
    </row>
    <row r="764" spans="9:9" x14ac:dyDescent="0.25">
      <c r="I764" t="s">
        <v>16</v>
      </c>
    </row>
    <row r="765" spans="9:9" x14ac:dyDescent="0.25">
      <c r="I765" t="s">
        <v>16</v>
      </c>
    </row>
    <row r="766" spans="9:9" x14ac:dyDescent="0.25">
      <c r="I766" t="s">
        <v>16</v>
      </c>
    </row>
    <row r="767" spans="9:9" x14ac:dyDescent="0.25">
      <c r="I767" t="s">
        <v>16</v>
      </c>
    </row>
    <row r="768" spans="9:9" x14ac:dyDescent="0.25">
      <c r="I768" t="s">
        <v>16</v>
      </c>
    </row>
    <row r="769" spans="9:9" x14ac:dyDescent="0.25">
      <c r="I769" t="s">
        <v>16</v>
      </c>
    </row>
    <row r="770" spans="9:9" x14ac:dyDescent="0.25">
      <c r="I770" t="s">
        <v>16</v>
      </c>
    </row>
    <row r="771" spans="9:9" x14ac:dyDescent="0.25">
      <c r="I771" t="s">
        <v>16</v>
      </c>
    </row>
    <row r="772" spans="9:9" x14ac:dyDescent="0.25">
      <c r="I772" t="s">
        <v>16</v>
      </c>
    </row>
    <row r="773" spans="9:9" x14ac:dyDescent="0.25">
      <c r="I773" t="s">
        <v>16</v>
      </c>
    </row>
    <row r="774" spans="9:9" x14ac:dyDescent="0.25">
      <c r="I774" t="s">
        <v>16</v>
      </c>
    </row>
    <row r="775" spans="9:9" x14ac:dyDescent="0.25">
      <c r="I775" t="s">
        <v>16</v>
      </c>
    </row>
    <row r="776" spans="9:9" x14ac:dyDescent="0.25">
      <c r="I776" t="s">
        <v>16</v>
      </c>
    </row>
    <row r="777" spans="9:9" x14ac:dyDescent="0.25">
      <c r="I777" t="s">
        <v>16</v>
      </c>
    </row>
    <row r="778" spans="9:9" x14ac:dyDescent="0.25">
      <c r="I778" t="s">
        <v>16</v>
      </c>
    </row>
    <row r="779" spans="9:9" x14ac:dyDescent="0.25">
      <c r="I779" t="s">
        <v>16</v>
      </c>
    </row>
    <row r="780" spans="9:9" x14ac:dyDescent="0.25">
      <c r="I780" t="s">
        <v>16</v>
      </c>
    </row>
    <row r="781" spans="9:9" x14ac:dyDescent="0.25">
      <c r="I781" t="s">
        <v>16</v>
      </c>
    </row>
    <row r="782" spans="9:9" x14ac:dyDescent="0.25">
      <c r="I782" t="s">
        <v>16</v>
      </c>
    </row>
    <row r="783" spans="9:9" x14ac:dyDescent="0.25">
      <c r="I783" t="s">
        <v>16</v>
      </c>
    </row>
    <row r="784" spans="9:9" x14ac:dyDescent="0.25">
      <c r="I784" t="s">
        <v>16</v>
      </c>
    </row>
    <row r="785" spans="9:9" x14ac:dyDescent="0.25">
      <c r="I785" t="s">
        <v>16</v>
      </c>
    </row>
    <row r="786" spans="9:9" x14ac:dyDescent="0.25">
      <c r="I786" t="s">
        <v>16</v>
      </c>
    </row>
    <row r="787" spans="9:9" x14ac:dyDescent="0.25">
      <c r="I787" t="s">
        <v>16</v>
      </c>
    </row>
    <row r="788" spans="9:9" x14ac:dyDescent="0.25">
      <c r="I788" t="s">
        <v>16</v>
      </c>
    </row>
    <row r="789" spans="9:9" x14ac:dyDescent="0.25">
      <c r="I789" t="s">
        <v>16</v>
      </c>
    </row>
    <row r="790" spans="9:9" x14ac:dyDescent="0.25">
      <c r="I790" t="s">
        <v>16</v>
      </c>
    </row>
    <row r="791" spans="9:9" x14ac:dyDescent="0.25">
      <c r="I791" t="s">
        <v>16</v>
      </c>
    </row>
    <row r="792" spans="9:9" x14ac:dyDescent="0.25">
      <c r="I792" t="s">
        <v>16</v>
      </c>
    </row>
    <row r="793" spans="9:9" x14ac:dyDescent="0.25">
      <c r="I793" t="s">
        <v>16</v>
      </c>
    </row>
    <row r="794" spans="9:9" x14ac:dyDescent="0.25">
      <c r="I794" t="s">
        <v>16</v>
      </c>
    </row>
    <row r="795" spans="9:9" x14ac:dyDescent="0.25">
      <c r="I795" t="s">
        <v>16</v>
      </c>
    </row>
    <row r="796" spans="9:9" x14ac:dyDescent="0.25">
      <c r="I796" t="s">
        <v>16</v>
      </c>
    </row>
    <row r="797" spans="9:9" x14ac:dyDescent="0.25">
      <c r="I797" t="s">
        <v>16</v>
      </c>
    </row>
    <row r="798" spans="9:9" x14ac:dyDescent="0.25">
      <c r="I798" t="s">
        <v>16</v>
      </c>
    </row>
    <row r="799" spans="9:9" x14ac:dyDescent="0.25">
      <c r="I799" t="s">
        <v>16</v>
      </c>
    </row>
    <row r="800" spans="9:9" x14ac:dyDescent="0.25">
      <c r="I800" t="s">
        <v>16</v>
      </c>
    </row>
    <row r="801" spans="9:9" x14ac:dyDescent="0.25">
      <c r="I801" t="s">
        <v>16</v>
      </c>
    </row>
    <row r="802" spans="9:9" x14ac:dyDescent="0.25">
      <c r="I802" t="s">
        <v>16</v>
      </c>
    </row>
    <row r="803" spans="9:9" x14ac:dyDescent="0.25">
      <c r="I803" t="s">
        <v>16</v>
      </c>
    </row>
    <row r="804" spans="9:9" x14ac:dyDescent="0.25">
      <c r="I804" t="s">
        <v>16</v>
      </c>
    </row>
    <row r="805" spans="9:9" x14ac:dyDescent="0.25">
      <c r="I805" t="s">
        <v>16</v>
      </c>
    </row>
    <row r="806" spans="9:9" x14ac:dyDescent="0.25">
      <c r="I806" t="s">
        <v>16</v>
      </c>
    </row>
    <row r="807" spans="9:9" x14ac:dyDescent="0.25">
      <c r="I807" t="s">
        <v>16</v>
      </c>
    </row>
    <row r="808" spans="9:9" x14ac:dyDescent="0.25">
      <c r="I808" t="s">
        <v>16</v>
      </c>
    </row>
    <row r="809" spans="9:9" x14ac:dyDescent="0.25">
      <c r="I809" t="s">
        <v>16</v>
      </c>
    </row>
    <row r="810" spans="9:9" x14ac:dyDescent="0.25">
      <c r="I810" t="s">
        <v>16</v>
      </c>
    </row>
    <row r="811" spans="9:9" x14ac:dyDescent="0.25">
      <c r="I811" t="s">
        <v>16</v>
      </c>
    </row>
    <row r="812" spans="9:9" x14ac:dyDescent="0.25">
      <c r="I812" t="s">
        <v>16</v>
      </c>
    </row>
    <row r="813" spans="9:9" x14ac:dyDescent="0.25">
      <c r="I813" t="s">
        <v>16</v>
      </c>
    </row>
    <row r="814" spans="9:9" x14ac:dyDescent="0.25">
      <c r="I814" t="s">
        <v>16</v>
      </c>
    </row>
    <row r="815" spans="9:9" x14ac:dyDescent="0.25">
      <c r="I815" t="s">
        <v>16</v>
      </c>
    </row>
    <row r="816" spans="9:9" x14ac:dyDescent="0.25">
      <c r="I816" t="s">
        <v>16</v>
      </c>
    </row>
    <row r="817" spans="9:9" x14ac:dyDescent="0.25">
      <c r="I817" t="s">
        <v>16</v>
      </c>
    </row>
    <row r="818" spans="9:9" x14ac:dyDescent="0.25">
      <c r="I818" t="s">
        <v>16</v>
      </c>
    </row>
    <row r="819" spans="9:9" x14ac:dyDescent="0.25">
      <c r="I819" t="s">
        <v>16</v>
      </c>
    </row>
    <row r="820" spans="9:9" x14ac:dyDescent="0.25">
      <c r="I820" t="s">
        <v>16</v>
      </c>
    </row>
    <row r="821" spans="9:9" x14ac:dyDescent="0.25">
      <c r="I821" t="s">
        <v>16</v>
      </c>
    </row>
    <row r="822" spans="9:9" x14ac:dyDescent="0.25">
      <c r="I822" t="s">
        <v>16</v>
      </c>
    </row>
    <row r="823" spans="9:9" x14ac:dyDescent="0.25">
      <c r="I823" t="s">
        <v>16</v>
      </c>
    </row>
    <row r="824" spans="9:9" x14ac:dyDescent="0.25">
      <c r="I824" t="s">
        <v>16</v>
      </c>
    </row>
    <row r="825" spans="9:9" x14ac:dyDescent="0.25">
      <c r="I825" t="s">
        <v>16</v>
      </c>
    </row>
    <row r="826" spans="9:9" x14ac:dyDescent="0.25">
      <c r="I826" t="s">
        <v>16</v>
      </c>
    </row>
    <row r="827" spans="9:9" x14ac:dyDescent="0.25">
      <c r="I827" t="s">
        <v>16</v>
      </c>
    </row>
    <row r="828" spans="9:9" x14ac:dyDescent="0.25">
      <c r="I828" t="s">
        <v>16</v>
      </c>
    </row>
    <row r="829" spans="9:9" x14ac:dyDescent="0.25">
      <c r="I829" t="s">
        <v>16</v>
      </c>
    </row>
    <row r="830" spans="9:9" x14ac:dyDescent="0.25">
      <c r="I830" t="s">
        <v>16</v>
      </c>
    </row>
    <row r="831" spans="9:9" x14ac:dyDescent="0.25">
      <c r="I831" t="s">
        <v>16</v>
      </c>
    </row>
    <row r="832" spans="9:9" x14ac:dyDescent="0.25">
      <c r="I832" t="s">
        <v>16</v>
      </c>
    </row>
    <row r="833" spans="9:9" x14ac:dyDescent="0.25">
      <c r="I833" t="s">
        <v>16</v>
      </c>
    </row>
    <row r="834" spans="9:9" x14ac:dyDescent="0.25">
      <c r="I834" t="s">
        <v>16</v>
      </c>
    </row>
    <row r="835" spans="9:9" x14ac:dyDescent="0.25">
      <c r="I835" t="s">
        <v>16</v>
      </c>
    </row>
    <row r="836" spans="9:9" x14ac:dyDescent="0.25">
      <c r="I836" t="s">
        <v>16</v>
      </c>
    </row>
    <row r="837" spans="9:9" x14ac:dyDescent="0.25">
      <c r="I837" t="s">
        <v>16</v>
      </c>
    </row>
    <row r="838" spans="9:9" x14ac:dyDescent="0.25">
      <c r="I838" t="s">
        <v>16</v>
      </c>
    </row>
    <row r="839" spans="9:9" x14ac:dyDescent="0.25">
      <c r="I839" t="s">
        <v>16</v>
      </c>
    </row>
    <row r="840" spans="9:9" x14ac:dyDescent="0.25">
      <c r="I840" t="s">
        <v>16</v>
      </c>
    </row>
    <row r="841" spans="9:9" x14ac:dyDescent="0.25">
      <c r="I841" t="s">
        <v>16</v>
      </c>
    </row>
    <row r="842" spans="9:9" x14ac:dyDescent="0.25">
      <c r="I842" t="s">
        <v>16</v>
      </c>
    </row>
    <row r="843" spans="9:9" x14ac:dyDescent="0.25">
      <c r="I843" t="s">
        <v>16</v>
      </c>
    </row>
    <row r="844" spans="9:9" x14ac:dyDescent="0.25">
      <c r="I844" t="s">
        <v>16</v>
      </c>
    </row>
    <row r="845" spans="9:9" x14ac:dyDescent="0.25">
      <c r="I845" t="s">
        <v>16</v>
      </c>
    </row>
    <row r="846" spans="9:9" x14ac:dyDescent="0.25">
      <c r="I846" t="s">
        <v>16</v>
      </c>
    </row>
    <row r="847" spans="9:9" x14ac:dyDescent="0.25">
      <c r="I847" t="s">
        <v>16</v>
      </c>
    </row>
    <row r="848" spans="9:9" x14ac:dyDescent="0.25">
      <c r="I848" t="s">
        <v>16</v>
      </c>
    </row>
    <row r="849" spans="9:9" x14ac:dyDescent="0.25">
      <c r="I849" t="s">
        <v>16</v>
      </c>
    </row>
    <row r="850" spans="9:9" x14ac:dyDescent="0.25">
      <c r="I850" t="s">
        <v>16</v>
      </c>
    </row>
    <row r="851" spans="9:9" x14ac:dyDescent="0.25">
      <c r="I851" t="s">
        <v>16</v>
      </c>
    </row>
    <row r="852" spans="9:9" x14ac:dyDescent="0.25">
      <c r="I852" t="s">
        <v>16</v>
      </c>
    </row>
    <row r="853" spans="9:9" x14ac:dyDescent="0.25">
      <c r="I853" t="s">
        <v>16</v>
      </c>
    </row>
    <row r="854" spans="9:9" x14ac:dyDescent="0.25">
      <c r="I854" t="s">
        <v>16</v>
      </c>
    </row>
    <row r="855" spans="9:9" x14ac:dyDescent="0.25">
      <c r="I855" t="s">
        <v>16</v>
      </c>
    </row>
    <row r="856" spans="9:9" x14ac:dyDescent="0.25">
      <c r="I856" t="s">
        <v>16</v>
      </c>
    </row>
    <row r="857" spans="9:9" x14ac:dyDescent="0.25">
      <c r="I857" t="s">
        <v>16</v>
      </c>
    </row>
    <row r="858" spans="9:9" x14ac:dyDescent="0.25">
      <c r="I858" t="s">
        <v>16</v>
      </c>
    </row>
    <row r="859" spans="9:9" x14ac:dyDescent="0.25">
      <c r="I859" t="s">
        <v>16</v>
      </c>
    </row>
    <row r="860" spans="9:9" x14ac:dyDescent="0.25">
      <c r="I860" t="s">
        <v>16</v>
      </c>
    </row>
    <row r="861" spans="9:9" x14ac:dyDescent="0.25">
      <c r="I861" t="s">
        <v>16</v>
      </c>
    </row>
    <row r="862" spans="9:9" x14ac:dyDescent="0.25">
      <c r="I862" t="s">
        <v>16</v>
      </c>
    </row>
    <row r="863" spans="9:9" x14ac:dyDescent="0.25">
      <c r="I863" t="s">
        <v>16</v>
      </c>
    </row>
    <row r="864" spans="9:9" x14ac:dyDescent="0.25">
      <c r="I864" t="s">
        <v>16</v>
      </c>
    </row>
    <row r="865" spans="9:9" x14ac:dyDescent="0.25">
      <c r="I865" t="s">
        <v>16</v>
      </c>
    </row>
    <row r="866" spans="9:9" x14ac:dyDescent="0.25">
      <c r="I866" t="s">
        <v>16</v>
      </c>
    </row>
    <row r="867" spans="9:9" x14ac:dyDescent="0.25">
      <c r="I867" t="s">
        <v>16</v>
      </c>
    </row>
    <row r="868" spans="9:9" x14ac:dyDescent="0.25">
      <c r="I868" t="s">
        <v>16</v>
      </c>
    </row>
    <row r="869" spans="9:9" x14ac:dyDescent="0.25">
      <c r="I869" t="s">
        <v>16</v>
      </c>
    </row>
    <row r="870" spans="9:9" x14ac:dyDescent="0.25">
      <c r="I870" t="s">
        <v>16</v>
      </c>
    </row>
    <row r="871" spans="9:9" x14ac:dyDescent="0.25">
      <c r="I871" t="s">
        <v>16</v>
      </c>
    </row>
    <row r="872" spans="9:9" x14ac:dyDescent="0.25">
      <c r="I872" t="s">
        <v>16</v>
      </c>
    </row>
    <row r="873" spans="9:9" x14ac:dyDescent="0.25">
      <c r="I873" t="s">
        <v>16</v>
      </c>
    </row>
    <row r="874" spans="9:9" x14ac:dyDescent="0.25">
      <c r="I874" t="s">
        <v>16</v>
      </c>
    </row>
    <row r="875" spans="9:9" x14ac:dyDescent="0.25">
      <c r="I875" t="s">
        <v>16</v>
      </c>
    </row>
    <row r="876" spans="9:9" x14ac:dyDescent="0.25">
      <c r="I876" t="s">
        <v>16</v>
      </c>
    </row>
    <row r="877" spans="9:9" x14ac:dyDescent="0.25">
      <c r="I877" t="s">
        <v>16</v>
      </c>
    </row>
    <row r="878" spans="9:9" x14ac:dyDescent="0.25">
      <c r="I878" t="s">
        <v>16</v>
      </c>
    </row>
    <row r="879" spans="9:9" x14ac:dyDescent="0.25">
      <c r="I879" t="s">
        <v>16</v>
      </c>
    </row>
    <row r="880" spans="9:9" x14ac:dyDescent="0.25">
      <c r="I880" t="s">
        <v>16</v>
      </c>
    </row>
    <row r="881" spans="9:9" x14ac:dyDescent="0.25">
      <c r="I881" t="s">
        <v>16</v>
      </c>
    </row>
    <row r="882" spans="9:9" x14ac:dyDescent="0.25">
      <c r="I882" t="s">
        <v>16</v>
      </c>
    </row>
    <row r="883" spans="9:9" x14ac:dyDescent="0.25">
      <c r="I883" t="s">
        <v>16</v>
      </c>
    </row>
    <row r="884" spans="9:9" x14ac:dyDescent="0.25">
      <c r="I884" t="s">
        <v>16</v>
      </c>
    </row>
    <row r="885" spans="9:9" x14ac:dyDescent="0.25">
      <c r="I885" t="s">
        <v>16</v>
      </c>
    </row>
    <row r="886" spans="9:9" x14ac:dyDescent="0.25">
      <c r="I886" t="s">
        <v>16</v>
      </c>
    </row>
    <row r="887" spans="9:9" x14ac:dyDescent="0.25">
      <c r="I887" t="s">
        <v>16</v>
      </c>
    </row>
    <row r="888" spans="9:9" x14ac:dyDescent="0.25">
      <c r="I888" t="s">
        <v>16</v>
      </c>
    </row>
    <row r="889" spans="9:9" x14ac:dyDescent="0.25">
      <c r="I889" t="s">
        <v>16</v>
      </c>
    </row>
    <row r="890" spans="9:9" x14ac:dyDescent="0.25">
      <c r="I890" t="s">
        <v>16</v>
      </c>
    </row>
    <row r="891" spans="9:9" x14ac:dyDescent="0.25">
      <c r="I891" t="s">
        <v>16</v>
      </c>
    </row>
    <row r="892" spans="9:9" x14ac:dyDescent="0.25">
      <c r="I892" t="s">
        <v>16</v>
      </c>
    </row>
    <row r="893" spans="9:9" x14ac:dyDescent="0.25">
      <c r="I893" t="s">
        <v>16</v>
      </c>
    </row>
    <row r="894" spans="9:9" x14ac:dyDescent="0.25">
      <c r="I894" t="s">
        <v>16</v>
      </c>
    </row>
    <row r="895" spans="9:9" x14ac:dyDescent="0.25">
      <c r="I895" t="s">
        <v>16</v>
      </c>
    </row>
    <row r="896" spans="9:9" x14ac:dyDescent="0.25">
      <c r="I896" t="s">
        <v>16</v>
      </c>
    </row>
    <row r="897" spans="9:9" x14ac:dyDescent="0.25">
      <c r="I897" t="s">
        <v>16</v>
      </c>
    </row>
    <row r="898" spans="9:9" x14ac:dyDescent="0.25">
      <c r="I898" t="s">
        <v>16</v>
      </c>
    </row>
    <row r="899" spans="9:9" x14ac:dyDescent="0.25">
      <c r="I899" t="s">
        <v>16</v>
      </c>
    </row>
    <row r="900" spans="9:9" x14ac:dyDescent="0.25">
      <c r="I900" t="s">
        <v>16</v>
      </c>
    </row>
    <row r="901" spans="9:9" x14ac:dyDescent="0.25">
      <c r="I901" t="s">
        <v>16</v>
      </c>
    </row>
    <row r="902" spans="9:9" x14ac:dyDescent="0.25">
      <c r="I902" t="s">
        <v>16</v>
      </c>
    </row>
    <row r="903" spans="9:9" x14ac:dyDescent="0.25">
      <c r="I903" t="s">
        <v>16</v>
      </c>
    </row>
    <row r="904" spans="9:9" x14ac:dyDescent="0.25">
      <c r="I904" t="s">
        <v>16</v>
      </c>
    </row>
    <row r="905" spans="9:9" x14ac:dyDescent="0.25">
      <c r="I905" t="s">
        <v>16</v>
      </c>
    </row>
    <row r="906" spans="9:9" x14ac:dyDescent="0.25">
      <c r="I906" t="s">
        <v>16</v>
      </c>
    </row>
    <row r="907" spans="9:9" x14ac:dyDescent="0.25">
      <c r="I907" t="s">
        <v>16</v>
      </c>
    </row>
    <row r="908" spans="9:9" x14ac:dyDescent="0.25">
      <c r="I908" t="s">
        <v>16</v>
      </c>
    </row>
    <row r="909" spans="9:9" x14ac:dyDescent="0.25">
      <c r="I909" t="s">
        <v>16</v>
      </c>
    </row>
    <row r="910" spans="9:9" x14ac:dyDescent="0.25">
      <c r="I910" t="s">
        <v>16</v>
      </c>
    </row>
    <row r="911" spans="9:9" x14ac:dyDescent="0.25">
      <c r="I911" t="s">
        <v>16</v>
      </c>
    </row>
    <row r="912" spans="9:9" x14ac:dyDescent="0.25">
      <c r="I912" t="s">
        <v>16</v>
      </c>
    </row>
    <row r="913" spans="9:9" x14ac:dyDescent="0.25">
      <c r="I913" t="s">
        <v>16</v>
      </c>
    </row>
    <row r="914" spans="9:9" x14ac:dyDescent="0.25">
      <c r="I914" t="s">
        <v>16</v>
      </c>
    </row>
    <row r="915" spans="9:9" x14ac:dyDescent="0.25">
      <c r="I915" t="s">
        <v>16</v>
      </c>
    </row>
    <row r="916" spans="9:9" x14ac:dyDescent="0.25">
      <c r="I916" t="s">
        <v>16</v>
      </c>
    </row>
    <row r="917" spans="9:9" x14ac:dyDescent="0.25">
      <c r="I917" t="s">
        <v>16</v>
      </c>
    </row>
    <row r="918" spans="9:9" x14ac:dyDescent="0.25">
      <c r="I918" t="s">
        <v>16</v>
      </c>
    </row>
    <row r="919" spans="9:9" x14ac:dyDescent="0.25">
      <c r="I919" t="s">
        <v>16</v>
      </c>
    </row>
    <row r="920" spans="9:9" x14ac:dyDescent="0.25">
      <c r="I920" t="s">
        <v>16</v>
      </c>
    </row>
    <row r="921" spans="9:9" x14ac:dyDescent="0.25">
      <c r="I921" t="s">
        <v>16</v>
      </c>
    </row>
    <row r="922" spans="9:9" x14ac:dyDescent="0.25">
      <c r="I922" t="s">
        <v>16</v>
      </c>
    </row>
    <row r="923" spans="9:9" x14ac:dyDescent="0.25">
      <c r="I923" t="s">
        <v>16</v>
      </c>
    </row>
    <row r="924" spans="9:9" x14ac:dyDescent="0.25">
      <c r="I924" t="s">
        <v>16</v>
      </c>
    </row>
    <row r="925" spans="9:9" x14ac:dyDescent="0.25">
      <c r="I925" t="s">
        <v>16</v>
      </c>
    </row>
    <row r="926" spans="9:9" x14ac:dyDescent="0.25">
      <c r="I926" t="s">
        <v>16</v>
      </c>
    </row>
    <row r="927" spans="9:9" x14ac:dyDescent="0.25">
      <c r="I927" t="s">
        <v>16</v>
      </c>
    </row>
    <row r="928" spans="9:9" x14ac:dyDescent="0.25">
      <c r="I928" t="s">
        <v>16</v>
      </c>
    </row>
    <row r="929" spans="9:9" x14ac:dyDescent="0.25">
      <c r="I929" t="s">
        <v>16</v>
      </c>
    </row>
    <row r="930" spans="9:9" x14ac:dyDescent="0.25">
      <c r="I930" t="s">
        <v>16</v>
      </c>
    </row>
    <row r="931" spans="9:9" x14ac:dyDescent="0.25">
      <c r="I931" t="s">
        <v>16</v>
      </c>
    </row>
    <row r="932" spans="9:9" x14ac:dyDescent="0.25">
      <c r="I932" t="s">
        <v>16</v>
      </c>
    </row>
    <row r="933" spans="9:9" x14ac:dyDescent="0.25">
      <c r="I933" t="s">
        <v>16</v>
      </c>
    </row>
    <row r="934" spans="9:9" x14ac:dyDescent="0.25">
      <c r="I934" t="s">
        <v>16</v>
      </c>
    </row>
    <row r="935" spans="9:9" x14ac:dyDescent="0.25">
      <c r="I935" t="s">
        <v>16</v>
      </c>
    </row>
    <row r="936" spans="9:9" x14ac:dyDescent="0.25">
      <c r="I936" t="s">
        <v>16</v>
      </c>
    </row>
    <row r="937" spans="9:9" x14ac:dyDescent="0.25">
      <c r="I937" t="s">
        <v>16</v>
      </c>
    </row>
    <row r="938" spans="9:9" x14ac:dyDescent="0.25">
      <c r="I938" t="s">
        <v>16</v>
      </c>
    </row>
    <row r="939" spans="9:9" x14ac:dyDescent="0.25">
      <c r="I939" t="s">
        <v>16</v>
      </c>
    </row>
    <row r="940" spans="9:9" x14ac:dyDescent="0.25">
      <c r="I940" t="s">
        <v>16</v>
      </c>
    </row>
    <row r="941" spans="9:9" x14ac:dyDescent="0.25">
      <c r="I941" t="s">
        <v>16</v>
      </c>
    </row>
    <row r="942" spans="9:9" x14ac:dyDescent="0.25">
      <c r="I942" t="s">
        <v>16</v>
      </c>
    </row>
    <row r="943" spans="9:9" x14ac:dyDescent="0.25">
      <c r="I943" t="s">
        <v>16</v>
      </c>
    </row>
    <row r="944" spans="9:9" x14ac:dyDescent="0.25">
      <c r="I944" t="s">
        <v>16</v>
      </c>
    </row>
    <row r="945" spans="9:9" x14ac:dyDescent="0.25">
      <c r="I945" t="s">
        <v>16</v>
      </c>
    </row>
    <row r="946" spans="9:9" x14ac:dyDescent="0.25">
      <c r="I946" t="s">
        <v>16</v>
      </c>
    </row>
    <row r="947" spans="9:9" x14ac:dyDescent="0.25">
      <c r="I947" t="s">
        <v>16</v>
      </c>
    </row>
    <row r="948" spans="9:9" x14ac:dyDescent="0.25">
      <c r="I948" t="s">
        <v>16</v>
      </c>
    </row>
    <row r="949" spans="9:9" x14ac:dyDescent="0.25">
      <c r="I949" t="s">
        <v>16</v>
      </c>
    </row>
    <row r="950" spans="9:9" x14ac:dyDescent="0.25">
      <c r="I950" t="s">
        <v>16</v>
      </c>
    </row>
    <row r="951" spans="9:9" x14ac:dyDescent="0.25">
      <c r="I951" t="s">
        <v>16</v>
      </c>
    </row>
    <row r="952" spans="9:9" x14ac:dyDescent="0.25">
      <c r="I952" t="s">
        <v>16</v>
      </c>
    </row>
    <row r="953" spans="9:9" x14ac:dyDescent="0.25">
      <c r="I953" t="s">
        <v>16</v>
      </c>
    </row>
    <row r="954" spans="9:9" x14ac:dyDescent="0.25">
      <c r="I954" t="s">
        <v>16</v>
      </c>
    </row>
    <row r="955" spans="9:9" x14ac:dyDescent="0.25">
      <c r="I955" t="s">
        <v>16</v>
      </c>
    </row>
    <row r="956" spans="9:9" x14ac:dyDescent="0.25">
      <c r="I956" t="s">
        <v>16</v>
      </c>
    </row>
    <row r="957" spans="9:9" x14ac:dyDescent="0.25">
      <c r="I957" t="s">
        <v>16</v>
      </c>
    </row>
    <row r="958" spans="9:9" x14ac:dyDescent="0.25">
      <c r="I958" t="s">
        <v>16</v>
      </c>
    </row>
    <row r="959" spans="9:9" x14ac:dyDescent="0.25">
      <c r="I959" t="s">
        <v>16</v>
      </c>
    </row>
    <row r="960" spans="9:9" x14ac:dyDescent="0.25">
      <c r="I960" t="s">
        <v>16</v>
      </c>
    </row>
    <row r="961" spans="9:9" x14ac:dyDescent="0.25">
      <c r="I961" t="s">
        <v>16</v>
      </c>
    </row>
    <row r="962" spans="9:9" x14ac:dyDescent="0.25">
      <c r="I962" t="s">
        <v>16</v>
      </c>
    </row>
    <row r="963" spans="9:9" x14ac:dyDescent="0.25">
      <c r="I963" t="s">
        <v>16</v>
      </c>
    </row>
    <row r="964" spans="9:9" x14ac:dyDescent="0.25">
      <c r="I964" t="s">
        <v>16</v>
      </c>
    </row>
    <row r="965" spans="9:9" x14ac:dyDescent="0.25">
      <c r="I965" t="s">
        <v>16</v>
      </c>
    </row>
    <row r="966" spans="9:9" x14ac:dyDescent="0.25">
      <c r="I966" t="s">
        <v>16</v>
      </c>
    </row>
    <row r="967" spans="9:9" x14ac:dyDescent="0.25">
      <c r="I967" t="s">
        <v>16</v>
      </c>
    </row>
    <row r="968" spans="9:9" x14ac:dyDescent="0.25">
      <c r="I968" t="s">
        <v>16</v>
      </c>
    </row>
    <row r="969" spans="9:9" x14ac:dyDescent="0.25">
      <c r="I969" t="s">
        <v>16</v>
      </c>
    </row>
    <row r="970" spans="9:9" x14ac:dyDescent="0.25">
      <c r="I970" t="s">
        <v>16</v>
      </c>
    </row>
    <row r="971" spans="9:9" x14ac:dyDescent="0.25">
      <c r="I971" t="s">
        <v>16</v>
      </c>
    </row>
    <row r="972" spans="9:9" x14ac:dyDescent="0.25">
      <c r="I972" t="s">
        <v>16</v>
      </c>
    </row>
    <row r="973" spans="9:9" x14ac:dyDescent="0.25">
      <c r="I973" t="s">
        <v>16</v>
      </c>
    </row>
    <row r="974" spans="9:9" x14ac:dyDescent="0.25">
      <c r="I974" t="s">
        <v>16</v>
      </c>
    </row>
    <row r="975" spans="9:9" x14ac:dyDescent="0.25">
      <c r="I975" t="s">
        <v>16</v>
      </c>
    </row>
    <row r="976" spans="9:9" x14ac:dyDescent="0.25">
      <c r="I976" t="s">
        <v>16</v>
      </c>
    </row>
    <row r="977" spans="9:9" x14ac:dyDescent="0.25">
      <c r="I977" t="s">
        <v>16</v>
      </c>
    </row>
    <row r="978" spans="9:9" x14ac:dyDescent="0.25">
      <c r="I978" t="s">
        <v>16</v>
      </c>
    </row>
    <row r="979" spans="9:9" x14ac:dyDescent="0.25">
      <c r="I979" t="s">
        <v>16</v>
      </c>
    </row>
    <row r="980" spans="9:9" x14ac:dyDescent="0.25">
      <c r="I980" t="s">
        <v>16</v>
      </c>
    </row>
    <row r="981" spans="9:9" x14ac:dyDescent="0.25">
      <c r="I981" t="s">
        <v>16</v>
      </c>
    </row>
    <row r="982" spans="9:9" x14ac:dyDescent="0.25">
      <c r="I982" t="s">
        <v>16</v>
      </c>
    </row>
    <row r="983" spans="9:9" x14ac:dyDescent="0.25">
      <c r="I983" t="s">
        <v>16</v>
      </c>
    </row>
    <row r="984" spans="9:9" x14ac:dyDescent="0.25">
      <c r="I984" t="s">
        <v>16</v>
      </c>
    </row>
    <row r="985" spans="9:9" x14ac:dyDescent="0.25">
      <c r="I985" t="s">
        <v>16</v>
      </c>
    </row>
    <row r="986" spans="9:9" x14ac:dyDescent="0.25">
      <c r="I986" t="s">
        <v>16</v>
      </c>
    </row>
    <row r="987" spans="9:9" x14ac:dyDescent="0.25">
      <c r="I987" t="s">
        <v>16</v>
      </c>
    </row>
    <row r="988" spans="9:9" x14ac:dyDescent="0.25">
      <c r="I988" t="s">
        <v>16</v>
      </c>
    </row>
    <row r="989" spans="9:9" x14ac:dyDescent="0.25">
      <c r="I989" t="s">
        <v>16</v>
      </c>
    </row>
    <row r="990" spans="9:9" x14ac:dyDescent="0.25">
      <c r="I990" t="s">
        <v>16</v>
      </c>
    </row>
    <row r="991" spans="9:9" x14ac:dyDescent="0.25">
      <c r="I991" t="s">
        <v>16</v>
      </c>
    </row>
    <row r="992" spans="9:9" x14ac:dyDescent="0.25">
      <c r="I992" t="s">
        <v>16</v>
      </c>
    </row>
    <row r="993" spans="9:9" x14ac:dyDescent="0.25">
      <c r="I993" t="s">
        <v>16</v>
      </c>
    </row>
    <row r="994" spans="9:9" x14ac:dyDescent="0.25">
      <c r="I994" t="s">
        <v>16</v>
      </c>
    </row>
    <row r="995" spans="9:9" x14ac:dyDescent="0.25">
      <c r="I995" t="s">
        <v>16</v>
      </c>
    </row>
    <row r="996" spans="9:9" x14ac:dyDescent="0.25">
      <c r="I996" t="s">
        <v>16</v>
      </c>
    </row>
    <row r="997" spans="9:9" x14ac:dyDescent="0.25">
      <c r="I997" t="s">
        <v>16</v>
      </c>
    </row>
    <row r="998" spans="9:9" x14ac:dyDescent="0.25">
      <c r="I998" t="s">
        <v>16</v>
      </c>
    </row>
    <row r="999" spans="9:9" x14ac:dyDescent="0.25">
      <c r="I999" t="s">
        <v>16</v>
      </c>
    </row>
    <row r="1000" spans="9:9" x14ac:dyDescent="0.25">
      <c r="I1000" t="s">
        <v>16</v>
      </c>
    </row>
    <row r="1001" spans="9:9" x14ac:dyDescent="0.25">
      <c r="I1001" t="s">
        <v>16</v>
      </c>
    </row>
    <row r="1002" spans="9:9" x14ac:dyDescent="0.25">
      <c r="I1002" t="s">
        <v>16</v>
      </c>
    </row>
    <row r="1003" spans="9:9" x14ac:dyDescent="0.25">
      <c r="I1003" t="s">
        <v>16</v>
      </c>
    </row>
    <row r="1004" spans="9:9" x14ac:dyDescent="0.25">
      <c r="I1004" t="s">
        <v>16</v>
      </c>
    </row>
    <row r="1005" spans="9:9" x14ac:dyDescent="0.25">
      <c r="I1005" t="s">
        <v>16</v>
      </c>
    </row>
    <row r="1006" spans="9:9" x14ac:dyDescent="0.25">
      <c r="I1006" t="s">
        <v>16</v>
      </c>
    </row>
    <row r="1007" spans="9:9" x14ac:dyDescent="0.25">
      <c r="I1007" t="s">
        <v>16</v>
      </c>
    </row>
    <row r="1008" spans="9:9" x14ac:dyDescent="0.25">
      <c r="I1008" t="s">
        <v>16</v>
      </c>
    </row>
    <row r="1009" spans="9:9" x14ac:dyDescent="0.25">
      <c r="I1009" t="s">
        <v>16</v>
      </c>
    </row>
    <row r="1010" spans="9:9" x14ac:dyDescent="0.25">
      <c r="I1010" t="s">
        <v>16</v>
      </c>
    </row>
    <row r="1011" spans="9:9" x14ac:dyDescent="0.25">
      <c r="I1011" t="s">
        <v>16</v>
      </c>
    </row>
    <row r="1012" spans="9:9" x14ac:dyDescent="0.25">
      <c r="I1012" t="s">
        <v>16</v>
      </c>
    </row>
    <row r="1013" spans="9:9" x14ac:dyDescent="0.25">
      <c r="I1013" t="s">
        <v>16</v>
      </c>
    </row>
    <row r="1014" spans="9:9" x14ac:dyDescent="0.25">
      <c r="I1014" t="s">
        <v>16</v>
      </c>
    </row>
    <row r="1015" spans="9:9" x14ac:dyDescent="0.25">
      <c r="I1015" t="s">
        <v>16</v>
      </c>
    </row>
    <row r="1016" spans="9:9" x14ac:dyDescent="0.25">
      <c r="I1016" t="s">
        <v>16</v>
      </c>
    </row>
    <row r="1017" spans="9:9" x14ac:dyDescent="0.25">
      <c r="I1017" t="s">
        <v>16</v>
      </c>
    </row>
    <row r="1018" spans="9:9" x14ac:dyDescent="0.25">
      <c r="I1018" t="s">
        <v>16</v>
      </c>
    </row>
    <row r="1019" spans="9:9" x14ac:dyDescent="0.25">
      <c r="I1019" t="s">
        <v>16</v>
      </c>
    </row>
    <row r="1020" spans="9:9" x14ac:dyDescent="0.25">
      <c r="I1020" t="s">
        <v>16</v>
      </c>
    </row>
    <row r="1021" spans="9:9" x14ac:dyDescent="0.25">
      <c r="I1021" t="s">
        <v>16</v>
      </c>
    </row>
    <row r="1022" spans="9:9" x14ac:dyDescent="0.25">
      <c r="I1022" t="s">
        <v>16</v>
      </c>
    </row>
    <row r="1023" spans="9:9" x14ac:dyDescent="0.25">
      <c r="I1023" t="s">
        <v>16</v>
      </c>
    </row>
    <row r="1024" spans="9:9" x14ac:dyDescent="0.25">
      <c r="I1024" t="s">
        <v>16</v>
      </c>
    </row>
    <row r="1025" spans="9:9" x14ac:dyDescent="0.25">
      <c r="I1025" t="s">
        <v>16</v>
      </c>
    </row>
    <row r="1026" spans="9:9" x14ac:dyDescent="0.25">
      <c r="I1026" t="s">
        <v>16</v>
      </c>
    </row>
    <row r="1027" spans="9:9" x14ac:dyDescent="0.25">
      <c r="I1027" t="s">
        <v>16</v>
      </c>
    </row>
    <row r="1028" spans="9:9" x14ac:dyDescent="0.25">
      <c r="I1028" t="s">
        <v>16</v>
      </c>
    </row>
    <row r="1029" spans="9:9" x14ac:dyDescent="0.25">
      <c r="I1029" t="s">
        <v>16</v>
      </c>
    </row>
    <row r="1030" spans="9:9" x14ac:dyDescent="0.25">
      <c r="I1030" t="s">
        <v>16</v>
      </c>
    </row>
    <row r="1031" spans="9:9" x14ac:dyDescent="0.25">
      <c r="I1031" t="s">
        <v>16</v>
      </c>
    </row>
    <row r="1032" spans="9:9" x14ac:dyDescent="0.25">
      <c r="I1032" t="s">
        <v>16</v>
      </c>
    </row>
    <row r="1033" spans="9:9" x14ac:dyDescent="0.25">
      <c r="I1033" t="s">
        <v>16</v>
      </c>
    </row>
    <row r="1034" spans="9:9" x14ac:dyDescent="0.25">
      <c r="I1034" t="s">
        <v>16</v>
      </c>
    </row>
    <row r="1035" spans="9:9" x14ac:dyDescent="0.25">
      <c r="I1035" t="s">
        <v>16</v>
      </c>
    </row>
    <row r="1036" spans="9:9" x14ac:dyDescent="0.25">
      <c r="I1036" t="s">
        <v>16</v>
      </c>
    </row>
    <row r="1037" spans="9:9" x14ac:dyDescent="0.25">
      <c r="I1037" t="s">
        <v>16</v>
      </c>
    </row>
    <row r="1038" spans="9:9" x14ac:dyDescent="0.25">
      <c r="I1038" t="s">
        <v>16</v>
      </c>
    </row>
    <row r="1039" spans="9:9" x14ac:dyDescent="0.25">
      <c r="I1039" t="s">
        <v>16</v>
      </c>
    </row>
    <row r="1040" spans="9:9" x14ac:dyDescent="0.25">
      <c r="I1040" t="s">
        <v>16</v>
      </c>
    </row>
    <row r="1041" spans="9:9" x14ac:dyDescent="0.25">
      <c r="I1041" t="s">
        <v>16</v>
      </c>
    </row>
    <row r="1042" spans="9:9" x14ac:dyDescent="0.25">
      <c r="I1042" t="s">
        <v>16</v>
      </c>
    </row>
    <row r="1043" spans="9:9" x14ac:dyDescent="0.25">
      <c r="I1043" t="s">
        <v>16</v>
      </c>
    </row>
    <row r="1044" spans="9:9" x14ac:dyDescent="0.25">
      <c r="I1044" t="s">
        <v>16</v>
      </c>
    </row>
    <row r="1045" spans="9:9" x14ac:dyDescent="0.25">
      <c r="I1045" t="s">
        <v>16</v>
      </c>
    </row>
    <row r="1046" spans="9:9" x14ac:dyDescent="0.25">
      <c r="I1046" t="s">
        <v>16</v>
      </c>
    </row>
    <row r="1047" spans="9:9" x14ac:dyDescent="0.25">
      <c r="I1047" t="s">
        <v>16</v>
      </c>
    </row>
    <row r="1048" spans="9:9" x14ac:dyDescent="0.25">
      <c r="I1048" t="s">
        <v>16</v>
      </c>
    </row>
    <row r="1049" spans="9:9" x14ac:dyDescent="0.25">
      <c r="I1049" t="s">
        <v>16</v>
      </c>
    </row>
    <row r="1050" spans="9:9" x14ac:dyDescent="0.25">
      <c r="I1050" t="s">
        <v>16</v>
      </c>
    </row>
    <row r="1051" spans="9:9" x14ac:dyDescent="0.25">
      <c r="I1051" t="s">
        <v>16</v>
      </c>
    </row>
    <row r="1052" spans="9:9" x14ac:dyDescent="0.25">
      <c r="I1052" t="s">
        <v>16</v>
      </c>
    </row>
    <row r="1053" spans="9:9" x14ac:dyDescent="0.25">
      <c r="I1053" t="s">
        <v>16</v>
      </c>
    </row>
    <row r="1054" spans="9:9" x14ac:dyDescent="0.25">
      <c r="I1054" t="s">
        <v>16</v>
      </c>
    </row>
    <row r="1055" spans="9:9" x14ac:dyDescent="0.25">
      <c r="I1055" t="s">
        <v>16</v>
      </c>
    </row>
    <row r="1056" spans="9:9" x14ac:dyDescent="0.25">
      <c r="I1056" t="s">
        <v>16</v>
      </c>
    </row>
    <row r="1057" spans="9:9" x14ac:dyDescent="0.25">
      <c r="I1057" t="s">
        <v>16</v>
      </c>
    </row>
    <row r="1058" spans="9:9" x14ac:dyDescent="0.25">
      <c r="I1058" t="s">
        <v>16</v>
      </c>
    </row>
    <row r="1059" spans="9:9" x14ac:dyDescent="0.25">
      <c r="I1059" t="s">
        <v>16</v>
      </c>
    </row>
    <row r="1060" spans="9:9" x14ac:dyDescent="0.25">
      <c r="I1060" t="s">
        <v>16</v>
      </c>
    </row>
    <row r="1061" spans="9:9" x14ac:dyDescent="0.25">
      <c r="I1061" t="s">
        <v>16</v>
      </c>
    </row>
    <row r="1062" spans="9:9" x14ac:dyDescent="0.25">
      <c r="I1062" t="s">
        <v>16</v>
      </c>
    </row>
    <row r="1063" spans="9:9" x14ac:dyDescent="0.25">
      <c r="I1063" t="s">
        <v>16</v>
      </c>
    </row>
    <row r="1064" spans="9:9" x14ac:dyDescent="0.25">
      <c r="I1064" t="s">
        <v>16</v>
      </c>
    </row>
    <row r="1065" spans="9:9" x14ac:dyDescent="0.25">
      <c r="I1065" t="s">
        <v>16</v>
      </c>
    </row>
    <row r="1066" spans="9:9" x14ac:dyDescent="0.25">
      <c r="I1066" t="s">
        <v>16</v>
      </c>
    </row>
    <row r="1067" spans="9:9" x14ac:dyDescent="0.25">
      <c r="I1067" t="s">
        <v>16</v>
      </c>
    </row>
    <row r="1068" spans="9:9" x14ac:dyDescent="0.25">
      <c r="I1068" t="s">
        <v>16</v>
      </c>
    </row>
    <row r="1069" spans="9:9" x14ac:dyDescent="0.25">
      <c r="I1069" t="s">
        <v>16</v>
      </c>
    </row>
    <row r="1070" spans="9:9" x14ac:dyDescent="0.25">
      <c r="I1070" t="s">
        <v>16</v>
      </c>
    </row>
    <row r="1071" spans="9:9" x14ac:dyDescent="0.25">
      <c r="I1071" t="s">
        <v>16</v>
      </c>
    </row>
    <row r="1072" spans="9:9" x14ac:dyDescent="0.25">
      <c r="I1072" t="s">
        <v>16</v>
      </c>
    </row>
    <row r="1073" spans="9:9" x14ac:dyDescent="0.25">
      <c r="I1073" t="s">
        <v>16</v>
      </c>
    </row>
    <row r="1074" spans="9:9" x14ac:dyDescent="0.25">
      <c r="I1074" t="s">
        <v>16</v>
      </c>
    </row>
    <row r="1075" spans="9:9" x14ac:dyDescent="0.25">
      <c r="I1075" t="s">
        <v>16</v>
      </c>
    </row>
    <row r="1076" spans="9:9" x14ac:dyDescent="0.25">
      <c r="I1076" t="s">
        <v>16</v>
      </c>
    </row>
    <row r="1077" spans="9:9" x14ac:dyDescent="0.25">
      <c r="I1077" t="s">
        <v>16</v>
      </c>
    </row>
    <row r="1078" spans="9:9" x14ac:dyDescent="0.25">
      <c r="I1078" t="s">
        <v>16</v>
      </c>
    </row>
    <row r="1079" spans="9:9" x14ac:dyDescent="0.25">
      <c r="I1079" t="s">
        <v>16</v>
      </c>
    </row>
    <row r="1080" spans="9:9" x14ac:dyDescent="0.25">
      <c r="I1080" t="s">
        <v>16</v>
      </c>
    </row>
    <row r="1081" spans="9:9" x14ac:dyDescent="0.25">
      <c r="I1081" t="s">
        <v>16</v>
      </c>
    </row>
    <row r="1082" spans="9:9" x14ac:dyDescent="0.25">
      <c r="I1082" t="s">
        <v>16</v>
      </c>
    </row>
    <row r="1083" spans="9:9" x14ac:dyDescent="0.25">
      <c r="I1083" t="s">
        <v>16</v>
      </c>
    </row>
    <row r="1084" spans="9:9" x14ac:dyDescent="0.25">
      <c r="I1084" t="s">
        <v>16</v>
      </c>
    </row>
    <row r="1085" spans="9:9" x14ac:dyDescent="0.25">
      <c r="I1085" t="s">
        <v>16</v>
      </c>
    </row>
    <row r="1086" spans="9:9" x14ac:dyDescent="0.25">
      <c r="I1086" t="s">
        <v>16</v>
      </c>
    </row>
    <row r="1087" spans="9:9" x14ac:dyDescent="0.25">
      <c r="I1087" t="s">
        <v>16</v>
      </c>
    </row>
    <row r="1088" spans="9:9" x14ac:dyDescent="0.25">
      <c r="I1088" t="s">
        <v>16</v>
      </c>
    </row>
    <row r="1089" spans="9:9" x14ac:dyDescent="0.25">
      <c r="I1089" t="s">
        <v>16</v>
      </c>
    </row>
    <row r="1090" spans="9:9" x14ac:dyDescent="0.25">
      <c r="I1090" t="s">
        <v>16</v>
      </c>
    </row>
    <row r="1091" spans="9:9" x14ac:dyDescent="0.25">
      <c r="I1091" t="s">
        <v>16</v>
      </c>
    </row>
    <row r="1092" spans="9:9" x14ac:dyDescent="0.25">
      <c r="I1092" t="s">
        <v>16</v>
      </c>
    </row>
    <row r="1093" spans="9:9" x14ac:dyDescent="0.25">
      <c r="I1093" t="s">
        <v>16</v>
      </c>
    </row>
    <row r="1094" spans="9:9" x14ac:dyDescent="0.25">
      <c r="I1094" t="s">
        <v>16</v>
      </c>
    </row>
    <row r="1095" spans="9:9" x14ac:dyDescent="0.25">
      <c r="I1095" t="s">
        <v>16</v>
      </c>
    </row>
    <row r="1096" spans="9:9" x14ac:dyDescent="0.25">
      <c r="I1096" t="s">
        <v>16</v>
      </c>
    </row>
    <row r="1097" spans="9:9" x14ac:dyDescent="0.25">
      <c r="I1097" t="s">
        <v>16</v>
      </c>
    </row>
    <row r="1098" spans="9:9" x14ac:dyDescent="0.25">
      <c r="I1098" t="s">
        <v>16</v>
      </c>
    </row>
    <row r="1099" spans="9:9" x14ac:dyDescent="0.25">
      <c r="I1099" t="s">
        <v>16</v>
      </c>
    </row>
    <row r="1100" spans="9:9" x14ac:dyDescent="0.25">
      <c r="I1100" t="s">
        <v>16</v>
      </c>
    </row>
    <row r="1101" spans="9:9" x14ac:dyDescent="0.25">
      <c r="I1101" t="s">
        <v>16</v>
      </c>
    </row>
    <row r="1102" spans="9:9" x14ac:dyDescent="0.25">
      <c r="I1102" t="s">
        <v>16</v>
      </c>
    </row>
    <row r="1103" spans="9:9" x14ac:dyDescent="0.25">
      <c r="I1103" t="s">
        <v>16</v>
      </c>
    </row>
    <row r="1104" spans="9:9" x14ac:dyDescent="0.25">
      <c r="I1104" t="s">
        <v>16</v>
      </c>
    </row>
    <row r="1105" spans="9:9" x14ac:dyDescent="0.25">
      <c r="I1105" t="s">
        <v>16</v>
      </c>
    </row>
    <row r="1106" spans="9:9" x14ac:dyDescent="0.25">
      <c r="I1106" t="s">
        <v>16</v>
      </c>
    </row>
    <row r="1107" spans="9:9" x14ac:dyDescent="0.25">
      <c r="I1107" t="s">
        <v>16</v>
      </c>
    </row>
    <row r="1108" spans="9:9" x14ac:dyDescent="0.25">
      <c r="I1108" t="s">
        <v>16</v>
      </c>
    </row>
    <row r="1109" spans="9:9" x14ac:dyDescent="0.25">
      <c r="I1109" t="s">
        <v>16</v>
      </c>
    </row>
    <row r="1110" spans="9:9" x14ac:dyDescent="0.25">
      <c r="I1110" t="s">
        <v>16</v>
      </c>
    </row>
    <row r="1111" spans="9:9" x14ac:dyDescent="0.25">
      <c r="I1111" t="s">
        <v>16</v>
      </c>
    </row>
    <row r="1112" spans="9:9" x14ac:dyDescent="0.25">
      <c r="I1112" t="s">
        <v>16</v>
      </c>
    </row>
    <row r="1113" spans="9:9" x14ac:dyDescent="0.25">
      <c r="I1113" t="s">
        <v>16</v>
      </c>
    </row>
    <row r="1114" spans="9:9" x14ac:dyDescent="0.25">
      <c r="I1114" t="s">
        <v>16</v>
      </c>
    </row>
    <row r="1115" spans="9:9" x14ac:dyDescent="0.25">
      <c r="I1115" t="s">
        <v>16</v>
      </c>
    </row>
    <row r="1116" spans="9:9" x14ac:dyDescent="0.25">
      <c r="I1116" t="s">
        <v>16</v>
      </c>
    </row>
    <row r="1117" spans="9:9" x14ac:dyDescent="0.25">
      <c r="I1117" t="s">
        <v>16</v>
      </c>
    </row>
    <row r="1118" spans="9:9" x14ac:dyDescent="0.25">
      <c r="I1118" t="s">
        <v>16</v>
      </c>
    </row>
    <row r="1119" spans="9:9" x14ac:dyDescent="0.25">
      <c r="I1119" t="s">
        <v>16</v>
      </c>
    </row>
    <row r="1120" spans="9:9" x14ac:dyDescent="0.25">
      <c r="I1120" t="s">
        <v>16</v>
      </c>
    </row>
    <row r="1121" spans="9:9" x14ac:dyDescent="0.25">
      <c r="I1121" t="s">
        <v>16</v>
      </c>
    </row>
    <row r="1122" spans="9:9" x14ac:dyDescent="0.25">
      <c r="I1122" t="s">
        <v>16</v>
      </c>
    </row>
    <row r="1123" spans="9:9" x14ac:dyDescent="0.25">
      <c r="I1123" t="s">
        <v>16</v>
      </c>
    </row>
    <row r="1124" spans="9:9" x14ac:dyDescent="0.25">
      <c r="I1124" t="s">
        <v>16</v>
      </c>
    </row>
    <row r="1125" spans="9:9" x14ac:dyDescent="0.25">
      <c r="I1125" t="s">
        <v>16</v>
      </c>
    </row>
    <row r="1126" spans="9:9" x14ac:dyDescent="0.25">
      <c r="I1126" t="s">
        <v>16</v>
      </c>
    </row>
    <row r="1127" spans="9:9" x14ac:dyDescent="0.25">
      <c r="I1127" t="s">
        <v>16</v>
      </c>
    </row>
    <row r="1128" spans="9:9" x14ac:dyDescent="0.25">
      <c r="I1128" t="s">
        <v>16</v>
      </c>
    </row>
    <row r="1129" spans="9:9" x14ac:dyDescent="0.25">
      <c r="I1129" t="s">
        <v>16</v>
      </c>
    </row>
    <row r="1130" spans="9:9" x14ac:dyDescent="0.25">
      <c r="I1130" t="s">
        <v>16</v>
      </c>
    </row>
    <row r="1131" spans="9:9" x14ac:dyDescent="0.25">
      <c r="I1131" t="s">
        <v>16</v>
      </c>
    </row>
    <row r="1132" spans="9:9" x14ac:dyDescent="0.25">
      <c r="I1132" t="s">
        <v>16</v>
      </c>
    </row>
    <row r="1133" spans="9:9" x14ac:dyDescent="0.25">
      <c r="I1133" t="s">
        <v>16</v>
      </c>
    </row>
    <row r="1134" spans="9:9" x14ac:dyDescent="0.25">
      <c r="I1134" t="s">
        <v>16</v>
      </c>
    </row>
    <row r="1135" spans="9:9" x14ac:dyDescent="0.25">
      <c r="I1135" t="s">
        <v>16</v>
      </c>
    </row>
    <row r="1136" spans="9:9" x14ac:dyDescent="0.25">
      <c r="I1136" t="s">
        <v>16</v>
      </c>
    </row>
    <row r="1137" spans="9:9" x14ac:dyDescent="0.25">
      <c r="I1137" t="s">
        <v>16</v>
      </c>
    </row>
    <row r="1138" spans="9:9" x14ac:dyDescent="0.25">
      <c r="I1138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1B5E-F739-4F8C-BE03-EDAEAA353DA5}">
  <dimension ref="A1:O85"/>
  <sheetViews>
    <sheetView zoomScale="90" zoomScaleNormal="90" workbookViewId="0">
      <selection activeCell="L19" sqref="L19"/>
    </sheetView>
  </sheetViews>
  <sheetFormatPr baseColWidth="10" defaultRowHeight="15" x14ac:dyDescent="0.25"/>
  <sheetData>
    <row r="1" spans="1:15" ht="15.75" x14ac:dyDescent="0.25">
      <c r="A1" s="2" t="s">
        <v>41</v>
      </c>
    </row>
    <row r="3" spans="1:15" x14ac:dyDescent="0.25">
      <c r="C3" s="16" t="s">
        <v>33</v>
      </c>
      <c r="D3" s="16"/>
      <c r="E3" s="15" t="s">
        <v>36</v>
      </c>
      <c r="F3" s="15"/>
    </row>
    <row r="4" spans="1:15" x14ac:dyDescent="0.25">
      <c r="A4" s="13" t="s">
        <v>18</v>
      </c>
      <c r="B4" s="11" t="s">
        <v>0</v>
      </c>
      <c r="C4" s="13" t="s">
        <v>34</v>
      </c>
      <c r="D4" s="13" t="s">
        <v>35</v>
      </c>
      <c r="E4" s="13" t="s">
        <v>34</v>
      </c>
      <c r="F4" s="13" t="s">
        <v>35</v>
      </c>
    </row>
    <row r="5" spans="1:15" x14ac:dyDescent="0.25">
      <c r="A5" s="3" t="s">
        <v>1</v>
      </c>
      <c r="B5" s="3">
        <v>0</v>
      </c>
      <c r="C5" s="10">
        <v>0.18041642963591564</v>
      </c>
      <c r="D5" s="10">
        <v>1.204558359796769E-2</v>
      </c>
      <c r="E5" s="10">
        <v>0.43284278291161793</v>
      </c>
      <c r="F5" s="10">
        <v>3.1134884447424599E-2</v>
      </c>
      <c r="I5" s="3"/>
      <c r="J5" s="10"/>
      <c r="K5" s="9"/>
      <c r="L5" s="10"/>
    </row>
    <row r="6" spans="1:15" x14ac:dyDescent="0.25">
      <c r="A6" s="3" t="s">
        <v>2</v>
      </c>
      <c r="B6" s="3">
        <v>1</v>
      </c>
      <c r="C6" s="10">
        <v>0.90341002434943263</v>
      </c>
      <c r="D6" s="10">
        <v>0.10058273252007106</v>
      </c>
      <c r="E6" s="10">
        <v>0.35837627702542174</v>
      </c>
      <c r="F6" s="10">
        <v>1.735137507141395E-2</v>
      </c>
      <c r="J6" s="10"/>
      <c r="O6" s="12"/>
    </row>
    <row r="7" spans="1:15" x14ac:dyDescent="0.25">
      <c r="A7" s="3" t="s">
        <v>3</v>
      </c>
      <c r="B7" s="3">
        <v>2</v>
      </c>
      <c r="C7" s="10">
        <v>1.616542260931662</v>
      </c>
      <c r="D7" s="10">
        <v>5.0152891909883063E-2</v>
      </c>
      <c r="E7" s="10">
        <v>0.44270476954145876</v>
      </c>
      <c r="F7" s="10">
        <v>4.6996612639897462E-2</v>
      </c>
      <c r="J7" s="10"/>
    </row>
    <row r="8" spans="1:15" x14ac:dyDescent="0.25">
      <c r="A8" s="3" t="s">
        <v>4</v>
      </c>
      <c r="B8" s="3">
        <v>3</v>
      </c>
      <c r="C8" s="10">
        <v>2.4843364990571679</v>
      </c>
      <c r="D8" s="10">
        <v>0.34359950935826461</v>
      </c>
      <c r="E8" s="10">
        <v>0.31178973627940126</v>
      </c>
      <c r="F8" s="10">
        <v>2.0487450403836874E-2</v>
      </c>
      <c r="J8" s="10"/>
    </row>
    <row r="9" spans="1:15" x14ac:dyDescent="0.25">
      <c r="A9" s="3" t="s">
        <v>5</v>
      </c>
      <c r="B9" s="3">
        <v>4</v>
      </c>
      <c r="C9" s="10">
        <v>0.78574066157699951</v>
      </c>
      <c r="D9" s="10">
        <v>0.11015796468849914</v>
      </c>
      <c r="E9" s="10">
        <v>0.35114333570919454</v>
      </c>
      <c r="F9" s="10">
        <v>4.4412096032213882E-2</v>
      </c>
      <c r="J9" s="10"/>
      <c r="O9" s="12"/>
    </row>
    <row r="10" spans="1:15" x14ac:dyDescent="0.25">
      <c r="A10" s="3" t="s">
        <v>6</v>
      </c>
      <c r="B10" s="3">
        <v>5</v>
      </c>
      <c r="C10" s="10">
        <v>0.92728240495580738</v>
      </c>
      <c r="D10" s="10">
        <v>0.13719985447506824</v>
      </c>
      <c r="E10" s="10">
        <v>0.31635952720361132</v>
      </c>
      <c r="F10" s="10">
        <v>2.9121313151899458E-2</v>
      </c>
      <c r="J10" s="10"/>
    </row>
    <row r="11" spans="1:15" x14ac:dyDescent="0.25">
      <c r="A11" s="3" t="s">
        <v>7</v>
      </c>
      <c r="B11" s="3">
        <v>6</v>
      </c>
      <c r="C11" s="10">
        <v>1.4425668527773801</v>
      </c>
      <c r="D11" s="10">
        <v>2.3860790734826314E-2</v>
      </c>
      <c r="E11" s="10">
        <v>0.39326764076977899</v>
      </c>
      <c r="F11" s="10">
        <v>1.544897949924926E-2</v>
      </c>
      <c r="J11" s="10"/>
    </row>
    <row r="12" spans="1:15" x14ac:dyDescent="0.25">
      <c r="A12" s="3" t="s">
        <v>8</v>
      </c>
      <c r="B12" s="3">
        <v>7</v>
      </c>
      <c r="C12" s="10">
        <v>2.0398412954319354</v>
      </c>
      <c r="D12" s="10">
        <v>8.3616557248943249E-2</v>
      </c>
      <c r="E12" s="10">
        <v>0.59357436445711564</v>
      </c>
      <c r="F12" s="10">
        <v>3.9074318144666956E-2</v>
      </c>
      <c r="J12" s="10"/>
      <c r="O12" s="12"/>
    </row>
    <row r="13" spans="1:15" x14ac:dyDescent="0.25">
      <c r="A13" s="3" t="s">
        <v>9</v>
      </c>
      <c r="B13" s="3">
        <v>8</v>
      </c>
      <c r="C13" s="10">
        <v>0.19513629634798557</v>
      </c>
      <c r="D13" s="10">
        <v>7.4013439756553294E-3</v>
      </c>
      <c r="E13" s="10">
        <v>0.29082811000000003</v>
      </c>
      <c r="F13" s="10">
        <v>1.8116390493569078E-2</v>
      </c>
      <c r="J13" s="10"/>
    </row>
    <row r="14" spans="1:15" x14ac:dyDescent="0.25">
      <c r="A14" s="3" t="s">
        <v>10</v>
      </c>
      <c r="B14" s="3">
        <v>9</v>
      </c>
      <c r="C14" s="10">
        <v>0.23647058572218943</v>
      </c>
      <c r="D14" s="10">
        <v>6.1929612857523908E-3</v>
      </c>
      <c r="E14" s="10">
        <v>0.33983053666666674</v>
      </c>
      <c r="F14" s="10">
        <v>2.3434694818868593E-2</v>
      </c>
      <c r="J14" s="10"/>
    </row>
    <row r="15" spans="1:15" x14ac:dyDescent="0.25">
      <c r="A15" s="3" t="s">
        <v>11</v>
      </c>
      <c r="B15" s="3">
        <v>10</v>
      </c>
      <c r="C15" s="10">
        <v>0.2666803309291842</v>
      </c>
      <c r="D15" s="10">
        <v>5.3577409419855483E-2</v>
      </c>
      <c r="E15" s="10">
        <v>0.38403531333333335</v>
      </c>
      <c r="F15" s="10">
        <v>1.3623404254822159E-2</v>
      </c>
      <c r="J15" s="10"/>
      <c r="O15" s="12"/>
    </row>
    <row r="16" spans="1:15" x14ac:dyDescent="0.25">
      <c r="E16" s="10"/>
      <c r="F16" s="10"/>
      <c r="J16" s="10"/>
    </row>
    <row r="17" spans="1:15" x14ac:dyDescent="0.25">
      <c r="A17" s="3"/>
      <c r="B17" s="3"/>
      <c r="C17" s="9"/>
      <c r="D17" s="10"/>
      <c r="E17" s="10"/>
      <c r="F17" s="10"/>
      <c r="J17" s="10"/>
    </row>
    <row r="18" spans="1:15" x14ac:dyDescent="0.25">
      <c r="I18" s="3"/>
      <c r="J18" s="10"/>
      <c r="K18" s="9"/>
      <c r="L18" s="10"/>
      <c r="O18" s="12"/>
    </row>
    <row r="19" spans="1:15" x14ac:dyDescent="0.25">
      <c r="J19" s="10"/>
    </row>
    <row r="20" spans="1:15" x14ac:dyDescent="0.25">
      <c r="J20" s="10"/>
    </row>
    <row r="21" spans="1:15" x14ac:dyDescent="0.25">
      <c r="J21" s="10"/>
      <c r="O21" s="12"/>
    </row>
    <row r="22" spans="1:15" x14ac:dyDescent="0.25">
      <c r="J22" s="10"/>
    </row>
    <row r="23" spans="1:15" x14ac:dyDescent="0.25">
      <c r="J23" s="10"/>
    </row>
    <row r="24" spans="1:15" x14ac:dyDescent="0.25">
      <c r="J24" s="10"/>
      <c r="O24" s="12"/>
    </row>
    <row r="25" spans="1:15" x14ac:dyDescent="0.25">
      <c r="I25" s="3"/>
      <c r="J25" s="10"/>
      <c r="K25" s="9"/>
      <c r="L25" s="10"/>
    </row>
    <row r="26" spans="1:15" x14ac:dyDescent="0.25">
      <c r="J26" s="10"/>
    </row>
    <row r="27" spans="1:15" x14ac:dyDescent="0.25">
      <c r="J27" s="10"/>
      <c r="O27" s="12"/>
    </row>
    <row r="28" spans="1:15" x14ac:dyDescent="0.25">
      <c r="J28" s="10"/>
    </row>
    <row r="29" spans="1:15" x14ac:dyDescent="0.25">
      <c r="J29" s="10"/>
    </row>
    <row r="30" spans="1:15" x14ac:dyDescent="0.25">
      <c r="J30" s="10"/>
      <c r="O30" s="12"/>
    </row>
    <row r="31" spans="1:15" x14ac:dyDescent="0.25">
      <c r="J31" s="10"/>
    </row>
    <row r="32" spans="1:15" x14ac:dyDescent="0.25">
      <c r="I32" s="3"/>
      <c r="J32" s="10"/>
      <c r="K32" s="9"/>
      <c r="L32" s="10"/>
    </row>
    <row r="33" spans="1:15" x14ac:dyDescent="0.25">
      <c r="A33" s="3"/>
      <c r="B33" s="3"/>
      <c r="C33" s="9"/>
      <c r="J33" s="10"/>
      <c r="O33" s="12"/>
    </row>
    <row r="34" spans="1:15" x14ac:dyDescent="0.25">
      <c r="J34" s="10"/>
    </row>
    <row r="35" spans="1:15" x14ac:dyDescent="0.25">
      <c r="J35" s="10"/>
    </row>
    <row r="36" spans="1:15" x14ac:dyDescent="0.25">
      <c r="J36" s="10"/>
      <c r="O36" s="12"/>
    </row>
    <row r="37" spans="1:15" x14ac:dyDescent="0.25">
      <c r="D37" s="10"/>
      <c r="J37" s="10"/>
    </row>
    <row r="38" spans="1:15" x14ac:dyDescent="0.25">
      <c r="A38" s="3"/>
      <c r="B38" s="3"/>
      <c r="C38" s="9"/>
      <c r="D38" s="10"/>
      <c r="I38" s="3"/>
      <c r="J38" s="10"/>
      <c r="K38" s="9"/>
      <c r="L38" s="10"/>
    </row>
    <row r="39" spans="1:15" x14ac:dyDescent="0.25">
      <c r="J39" s="10"/>
    </row>
    <row r="40" spans="1:15" x14ac:dyDescent="0.25">
      <c r="J40" s="10"/>
    </row>
    <row r="41" spans="1:15" x14ac:dyDescent="0.25">
      <c r="J41" s="10"/>
    </row>
    <row r="42" spans="1:15" x14ac:dyDescent="0.25">
      <c r="J42" s="10"/>
    </row>
    <row r="44" spans="1:15" x14ac:dyDescent="0.25">
      <c r="I44" s="3"/>
      <c r="J44" s="10"/>
      <c r="K44" s="9"/>
      <c r="L44" s="10"/>
    </row>
    <row r="45" spans="1:15" x14ac:dyDescent="0.25">
      <c r="J45" s="10"/>
    </row>
    <row r="46" spans="1:15" x14ac:dyDescent="0.25">
      <c r="J46" s="10"/>
    </row>
    <row r="47" spans="1:15" x14ac:dyDescent="0.25">
      <c r="J47" s="10"/>
    </row>
    <row r="48" spans="1:15" x14ac:dyDescent="0.25">
      <c r="J48" s="10"/>
    </row>
    <row r="49" spans="9:12" x14ac:dyDescent="0.25">
      <c r="J49" s="10"/>
    </row>
    <row r="51" spans="9:12" x14ac:dyDescent="0.25">
      <c r="I51" s="3"/>
      <c r="J51" s="10"/>
      <c r="K51" s="9"/>
      <c r="L51" s="10"/>
    </row>
    <row r="52" spans="9:12" x14ac:dyDescent="0.25">
      <c r="J52" s="10"/>
    </row>
    <row r="53" spans="9:12" x14ac:dyDescent="0.25">
      <c r="J53" s="10"/>
    </row>
    <row r="54" spans="9:12" x14ac:dyDescent="0.25">
      <c r="J54" s="10"/>
    </row>
    <row r="55" spans="9:12" x14ac:dyDescent="0.25">
      <c r="J55" s="10"/>
    </row>
    <row r="56" spans="9:12" x14ac:dyDescent="0.25">
      <c r="J56" s="10"/>
    </row>
    <row r="58" spans="9:12" x14ac:dyDescent="0.25">
      <c r="I58" s="3"/>
      <c r="J58" s="9"/>
      <c r="K58" s="9"/>
      <c r="L58" s="10"/>
    </row>
    <row r="59" spans="9:12" x14ac:dyDescent="0.25">
      <c r="J59" s="9"/>
    </row>
    <row r="60" spans="9:12" x14ac:dyDescent="0.25">
      <c r="J60" s="9"/>
    </row>
    <row r="61" spans="9:12" x14ac:dyDescent="0.25">
      <c r="J61" s="9"/>
    </row>
    <row r="62" spans="9:12" x14ac:dyDescent="0.25">
      <c r="J62" s="9"/>
    </row>
    <row r="63" spans="9:12" x14ac:dyDescent="0.25">
      <c r="J63" s="9"/>
    </row>
    <row r="65" spans="9:12" x14ac:dyDescent="0.25">
      <c r="I65" s="3"/>
      <c r="J65" s="9"/>
      <c r="K65" s="9"/>
      <c r="L65" s="10"/>
    </row>
    <row r="66" spans="9:12" x14ac:dyDescent="0.25">
      <c r="J66" s="9"/>
    </row>
    <row r="67" spans="9:12" x14ac:dyDescent="0.25">
      <c r="J67" s="9"/>
    </row>
    <row r="68" spans="9:12" x14ac:dyDescent="0.25">
      <c r="J68" s="9"/>
    </row>
    <row r="69" spans="9:12" x14ac:dyDescent="0.25">
      <c r="J69" s="9"/>
    </row>
    <row r="70" spans="9:12" x14ac:dyDescent="0.25">
      <c r="J70" s="9"/>
    </row>
    <row r="71" spans="9:12" x14ac:dyDescent="0.25">
      <c r="J71" s="8"/>
    </row>
    <row r="72" spans="9:12" x14ac:dyDescent="0.25">
      <c r="I72" s="3"/>
      <c r="J72" s="9"/>
      <c r="K72" s="9"/>
      <c r="L72" s="10"/>
    </row>
    <row r="73" spans="9:12" x14ac:dyDescent="0.25">
      <c r="J73" s="9"/>
    </row>
    <row r="74" spans="9:12" x14ac:dyDescent="0.25">
      <c r="J74" s="9"/>
    </row>
    <row r="75" spans="9:12" x14ac:dyDescent="0.25">
      <c r="J75" s="9"/>
    </row>
    <row r="76" spans="9:12" x14ac:dyDescent="0.25">
      <c r="J76" s="9"/>
    </row>
    <row r="77" spans="9:12" x14ac:dyDescent="0.25">
      <c r="J77" s="9"/>
    </row>
    <row r="78" spans="9:12" x14ac:dyDescent="0.25">
      <c r="J78" s="8"/>
    </row>
    <row r="79" spans="9:12" x14ac:dyDescent="0.25">
      <c r="I79" s="3"/>
      <c r="J79" s="9"/>
      <c r="K79" s="9"/>
      <c r="L79" s="10"/>
    </row>
    <row r="80" spans="9:12" x14ac:dyDescent="0.25">
      <c r="J80" s="9"/>
    </row>
    <row r="81" spans="5:10" x14ac:dyDescent="0.25">
      <c r="J81" s="9"/>
    </row>
    <row r="82" spans="5:10" x14ac:dyDescent="0.25">
      <c r="J82" s="9"/>
    </row>
    <row r="83" spans="5:10" x14ac:dyDescent="0.25">
      <c r="J83" s="9"/>
    </row>
    <row r="84" spans="5:10" x14ac:dyDescent="0.25">
      <c r="J84" s="9"/>
    </row>
    <row r="85" spans="5:10" x14ac:dyDescent="0.25">
      <c r="E85" s="10"/>
      <c r="F85" s="10"/>
    </row>
  </sheetData>
  <mergeCells count="2">
    <mergeCell ref="C3:D3"/>
    <mergeCell ref="E3:F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576DB-3457-4751-8861-2ECC5DAD9608}">
  <dimension ref="A1:V48"/>
  <sheetViews>
    <sheetView tabSelected="1" zoomScale="90" zoomScaleNormal="90" workbookViewId="0">
      <selection activeCell="E16" sqref="E16"/>
    </sheetView>
  </sheetViews>
  <sheetFormatPr baseColWidth="10" defaultRowHeight="15" x14ac:dyDescent="0.25"/>
  <sheetData>
    <row r="1" spans="1:22" ht="15.75" x14ac:dyDescent="0.25">
      <c r="A1" s="2" t="s">
        <v>42</v>
      </c>
    </row>
    <row r="3" spans="1:22" x14ac:dyDescent="0.25">
      <c r="C3" s="16" t="s">
        <v>33</v>
      </c>
      <c r="D3" s="16"/>
      <c r="E3" s="15" t="s">
        <v>36</v>
      </c>
      <c r="F3" s="15"/>
    </row>
    <row r="4" spans="1:22" x14ac:dyDescent="0.25">
      <c r="A4" s="13" t="s">
        <v>18</v>
      </c>
      <c r="B4" s="11" t="s">
        <v>0</v>
      </c>
      <c r="C4" s="13" t="s">
        <v>34</v>
      </c>
      <c r="D4" s="13" t="s">
        <v>35</v>
      </c>
      <c r="E4" s="13" t="s">
        <v>34</v>
      </c>
      <c r="F4" s="13" t="s">
        <v>35</v>
      </c>
      <c r="I4" s="13"/>
    </row>
    <row r="5" spans="1:22" x14ac:dyDescent="0.25">
      <c r="A5" s="3" t="s">
        <v>1</v>
      </c>
      <c r="B5" s="3">
        <v>0</v>
      </c>
      <c r="C5" s="10">
        <v>0.23193479831314881</v>
      </c>
      <c r="D5" s="10">
        <v>2.182461539146465E-3</v>
      </c>
      <c r="E5" s="10">
        <v>0.32122940163333341</v>
      </c>
      <c r="F5" s="10">
        <v>2.3088188848924034E-2</v>
      </c>
      <c r="T5" s="8"/>
    </row>
    <row r="6" spans="1:22" x14ac:dyDescent="0.25">
      <c r="A6" s="3" t="s">
        <v>2</v>
      </c>
      <c r="B6" s="3">
        <v>1</v>
      </c>
      <c r="C6" s="10">
        <v>0.99371906137542165</v>
      </c>
      <c r="D6" s="10">
        <v>5.2005898814380946E-2</v>
      </c>
      <c r="E6" s="10">
        <v>0.36392556179999996</v>
      </c>
      <c r="F6" s="10">
        <v>2.9127622514583496E-2</v>
      </c>
      <c r="I6" s="5"/>
      <c r="L6" s="7"/>
      <c r="M6" s="7"/>
      <c r="S6" s="8"/>
      <c r="T6" s="5"/>
      <c r="U6" s="10"/>
      <c r="V6" s="10"/>
    </row>
    <row r="7" spans="1:22" x14ac:dyDescent="0.25">
      <c r="A7" s="3" t="s">
        <v>3</v>
      </c>
      <c r="B7" s="3">
        <v>2</v>
      </c>
      <c r="C7" s="10">
        <v>1.7339338030010729</v>
      </c>
      <c r="D7" s="10">
        <v>1.9749325598687931E-2</v>
      </c>
      <c r="E7" s="10">
        <v>0.39932131733333343</v>
      </c>
      <c r="F7" s="10">
        <v>2.3432252821544777E-2</v>
      </c>
      <c r="I7" s="5"/>
      <c r="L7" s="7"/>
      <c r="M7" s="7"/>
      <c r="S7" s="8"/>
      <c r="T7" s="5"/>
      <c r="U7" s="7"/>
      <c r="V7" s="7"/>
    </row>
    <row r="8" spans="1:22" x14ac:dyDescent="0.25">
      <c r="A8" s="3" t="s">
        <v>4</v>
      </c>
      <c r="B8" s="3">
        <v>3</v>
      </c>
      <c r="C8" s="10">
        <v>2.5379197397771591</v>
      </c>
      <c r="D8" s="10">
        <v>2.0212583667162689E-2</v>
      </c>
      <c r="E8" s="10">
        <v>0.45009311341666675</v>
      </c>
      <c r="F8" s="10">
        <v>2.1669972613405614E-2</v>
      </c>
      <c r="I8" s="5"/>
      <c r="L8" s="7"/>
      <c r="M8" s="7"/>
      <c r="S8" s="8"/>
      <c r="T8" s="5"/>
      <c r="U8" s="7"/>
      <c r="V8" s="7"/>
    </row>
    <row r="9" spans="1:22" x14ac:dyDescent="0.25">
      <c r="A9" s="3" t="s">
        <v>5</v>
      </c>
      <c r="B9" s="3">
        <v>4</v>
      </c>
      <c r="C9" s="10">
        <v>0.84289482760676393</v>
      </c>
      <c r="D9" s="10">
        <v>8.3264755922784386E-2</v>
      </c>
      <c r="E9" s="10">
        <v>0.31648720391666668</v>
      </c>
      <c r="F9" s="10">
        <v>1.8574988219418487E-2</v>
      </c>
      <c r="L9" s="7"/>
      <c r="M9" s="7"/>
      <c r="S9" s="8"/>
      <c r="T9" s="5"/>
      <c r="U9" s="10"/>
      <c r="V9" s="10"/>
    </row>
    <row r="10" spans="1:22" x14ac:dyDescent="0.25">
      <c r="A10" s="3" t="s">
        <v>6</v>
      </c>
      <c r="B10" s="3">
        <v>5</v>
      </c>
      <c r="C10" s="10">
        <v>1.1907552866337521</v>
      </c>
      <c r="D10" s="10">
        <v>3.8398495526463627E-2</v>
      </c>
      <c r="E10" s="10">
        <v>0.37229622903333337</v>
      </c>
      <c r="F10" s="10">
        <v>2.3883898317394479E-2</v>
      </c>
      <c r="I10" s="5"/>
      <c r="L10" s="7"/>
      <c r="M10" s="7"/>
      <c r="S10" s="8"/>
      <c r="T10" s="5"/>
      <c r="U10" s="7"/>
      <c r="V10" s="7"/>
    </row>
    <row r="11" spans="1:22" x14ac:dyDescent="0.25">
      <c r="A11" s="3" t="s">
        <v>7</v>
      </c>
      <c r="B11" s="3">
        <v>6</v>
      </c>
      <c r="C11" s="10">
        <v>1.5938720152395927</v>
      </c>
      <c r="D11" s="10">
        <v>4.2146792601889414E-3</v>
      </c>
      <c r="E11" s="10">
        <v>0.35613155103333333</v>
      </c>
      <c r="F11" s="10">
        <v>2.3620310614804595E-2</v>
      </c>
      <c r="I11" s="5"/>
      <c r="L11" s="7"/>
      <c r="M11" s="7"/>
      <c r="S11" s="8"/>
      <c r="T11" s="5"/>
      <c r="U11" s="7"/>
      <c r="V11" s="7"/>
    </row>
    <row r="12" spans="1:22" x14ac:dyDescent="0.25">
      <c r="A12" s="3" t="s">
        <v>8</v>
      </c>
      <c r="B12" s="3">
        <v>7</v>
      </c>
      <c r="C12" s="10">
        <v>2.1321173694778</v>
      </c>
      <c r="D12" s="10">
        <v>4.5155709883945273E-2</v>
      </c>
      <c r="E12" s="10">
        <v>0.38255338700000002</v>
      </c>
      <c r="F12" s="10">
        <v>4.3507530357998071E-2</v>
      </c>
      <c r="I12" s="5"/>
      <c r="L12" s="7"/>
      <c r="M12" s="7"/>
      <c r="S12" s="8"/>
      <c r="T12" s="5"/>
      <c r="U12" s="10"/>
      <c r="V12" s="10"/>
    </row>
    <row r="13" spans="1:22" x14ac:dyDescent="0.25">
      <c r="A13" s="3" t="s">
        <v>9</v>
      </c>
      <c r="B13" s="3">
        <v>8</v>
      </c>
      <c r="C13" s="10">
        <v>0.20085973621668804</v>
      </c>
      <c r="D13" s="10">
        <v>2.2879377224978726E-2</v>
      </c>
      <c r="E13" s="10">
        <v>0.41019256500000001</v>
      </c>
      <c r="F13" s="10">
        <v>2.2571711731759959E-2</v>
      </c>
      <c r="L13" s="7"/>
      <c r="M13" s="7"/>
      <c r="S13" s="8"/>
      <c r="T13" s="5"/>
      <c r="U13" s="7"/>
      <c r="V13" s="7"/>
    </row>
    <row r="14" spans="1:22" x14ac:dyDescent="0.25">
      <c r="A14" s="3" t="s">
        <v>10</v>
      </c>
      <c r="B14" s="3">
        <v>9</v>
      </c>
      <c r="C14" s="10">
        <v>0.25490560226088899</v>
      </c>
      <c r="D14" s="10">
        <v>5.8667380440771393E-3</v>
      </c>
      <c r="E14" s="10">
        <v>0.38109600000000005</v>
      </c>
      <c r="F14" s="10">
        <v>1.1090279793404654E-2</v>
      </c>
      <c r="I14" s="5"/>
      <c r="L14" s="7"/>
      <c r="M14" s="7"/>
      <c r="S14" s="8"/>
      <c r="T14" s="5"/>
      <c r="U14" s="7"/>
      <c r="V14" s="7"/>
    </row>
    <row r="15" spans="1:22" x14ac:dyDescent="0.25">
      <c r="A15" s="3" t="s">
        <v>11</v>
      </c>
      <c r="B15" s="3">
        <v>10</v>
      </c>
      <c r="C15" s="10">
        <v>0.28632851350322497</v>
      </c>
      <c r="D15" s="10">
        <v>1.3634691119201181E-2</v>
      </c>
      <c r="E15" s="10">
        <v>0.36937492000000005</v>
      </c>
      <c r="F15" s="10">
        <v>8.2756935259943695E-2</v>
      </c>
      <c r="I15" s="5"/>
      <c r="L15" s="7"/>
      <c r="M15" s="7"/>
      <c r="S15" s="8"/>
      <c r="T15" s="5"/>
      <c r="U15" s="10"/>
      <c r="V15" s="10"/>
    </row>
    <row r="16" spans="1:22" x14ac:dyDescent="0.25">
      <c r="A16" s="3"/>
      <c r="B16" s="3"/>
      <c r="I16" s="5"/>
      <c r="L16" s="7"/>
      <c r="M16" s="7"/>
      <c r="S16" s="8"/>
      <c r="T16" s="5"/>
      <c r="U16" s="7"/>
      <c r="V16" s="7"/>
    </row>
    <row r="17" spans="9:22" x14ac:dyDescent="0.25">
      <c r="L17" s="7"/>
      <c r="M17" s="7"/>
      <c r="S17" s="8"/>
      <c r="T17" s="5"/>
      <c r="U17" s="7"/>
      <c r="V17" s="7"/>
    </row>
    <row r="18" spans="9:22" x14ac:dyDescent="0.25">
      <c r="I18" s="5"/>
      <c r="L18" s="7"/>
      <c r="M18" s="7"/>
      <c r="S18" s="8"/>
      <c r="T18" s="5"/>
      <c r="U18" s="10"/>
      <c r="V18" s="10"/>
    </row>
    <row r="19" spans="9:22" x14ac:dyDescent="0.25">
      <c r="I19" s="5"/>
      <c r="L19" s="7"/>
      <c r="M19" s="7"/>
      <c r="S19" s="8"/>
      <c r="T19" s="5"/>
      <c r="U19" s="7"/>
      <c r="V19" s="7"/>
    </row>
    <row r="20" spans="9:22" x14ac:dyDescent="0.25">
      <c r="I20" s="5"/>
      <c r="L20" s="7"/>
      <c r="M20" s="7"/>
      <c r="S20" s="8"/>
      <c r="T20" s="5"/>
      <c r="U20" s="7"/>
      <c r="V20" s="7"/>
    </row>
    <row r="21" spans="9:22" x14ac:dyDescent="0.25">
      <c r="L21" s="7"/>
      <c r="M21" s="7"/>
      <c r="S21" s="8"/>
      <c r="T21" s="5"/>
      <c r="U21" s="10"/>
      <c r="V21" s="10"/>
    </row>
    <row r="22" spans="9:22" x14ac:dyDescent="0.25">
      <c r="I22" s="5"/>
      <c r="L22" s="7"/>
      <c r="M22" s="7"/>
      <c r="S22" s="8"/>
      <c r="T22" s="5"/>
      <c r="U22" s="7"/>
      <c r="V22" s="7"/>
    </row>
    <row r="23" spans="9:22" x14ac:dyDescent="0.25">
      <c r="I23" s="5"/>
      <c r="L23" s="7"/>
      <c r="M23" s="7"/>
      <c r="S23" s="8"/>
      <c r="T23" s="5"/>
      <c r="U23" s="7"/>
      <c r="V23" s="7"/>
    </row>
    <row r="24" spans="9:22" x14ac:dyDescent="0.25">
      <c r="I24" s="5"/>
      <c r="L24" s="7"/>
      <c r="M24" s="7"/>
      <c r="S24" s="8"/>
      <c r="T24" s="5"/>
      <c r="U24" s="10"/>
      <c r="V24" s="10"/>
    </row>
    <row r="25" spans="9:22" x14ac:dyDescent="0.25">
      <c r="L25" s="7"/>
      <c r="M25" s="7"/>
      <c r="S25" s="8"/>
      <c r="T25" s="5"/>
      <c r="U25" s="7"/>
      <c r="V25" s="7"/>
    </row>
    <row r="26" spans="9:22" x14ac:dyDescent="0.25">
      <c r="I26" s="5"/>
      <c r="L26" s="7"/>
      <c r="M26" s="7"/>
      <c r="S26" s="8"/>
      <c r="T26" s="5"/>
      <c r="U26" s="7"/>
      <c r="V26" s="7"/>
    </row>
    <row r="27" spans="9:22" x14ac:dyDescent="0.25">
      <c r="I27" s="5"/>
      <c r="L27" s="7"/>
      <c r="M27" s="7"/>
      <c r="S27" s="8"/>
      <c r="T27" s="5"/>
      <c r="U27" s="10"/>
      <c r="V27" s="10"/>
    </row>
    <row r="28" spans="9:22" x14ac:dyDescent="0.25">
      <c r="I28" s="5"/>
      <c r="L28" s="7"/>
      <c r="M28" s="7"/>
      <c r="S28" s="8"/>
      <c r="T28" s="5"/>
      <c r="U28" s="7"/>
      <c r="V28" s="7"/>
    </row>
    <row r="29" spans="9:22" x14ac:dyDescent="0.25">
      <c r="L29" s="7"/>
      <c r="M29" s="7"/>
      <c r="S29" s="8"/>
      <c r="T29" s="5"/>
      <c r="U29" s="7"/>
      <c r="V29" s="7"/>
    </row>
    <row r="30" spans="9:22" x14ac:dyDescent="0.25">
      <c r="I30" s="5"/>
      <c r="L30" s="7"/>
      <c r="M30" s="7"/>
      <c r="S30" s="8"/>
      <c r="T30" s="5"/>
      <c r="U30" s="10"/>
      <c r="V30" s="10"/>
    </row>
    <row r="31" spans="9:22" x14ac:dyDescent="0.25">
      <c r="I31" s="5"/>
      <c r="L31" s="7"/>
      <c r="M31" s="7"/>
      <c r="S31" s="8"/>
      <c r="T31" s="5"/>
      <c r="U31" s="7"/>
      <c r="V31" s="7"/>
    </row>
    <row r="32" spans="9:22" x14ac:dyDescent="0.25">
      <c r="I32" s="5"/>
      <c r="L32" s="7"/>
      <c r="M32" s="7"/>
      <c r="S32" s="8"/>
      <c r="T32" s="5"/>
      <c r="U32" s="7"/>
      <c r="V32" s="7"/>
    </row>
    <row r="33" spans="9:22" x14ac:dyDescent="0.25">
      <c r="L33" s="7"/>
      <c r="M33" s="7"/>
      <c r="S33" s="8"/>
      <c r="T33" s="5"/>
      <c r="U33" s="10"/>
      <c r="V33" s="10"/>
    </row>
    <row r="34" spans="9:22" x14ac:dyDescent="0.25">
      <c r="I34" s="5"/>
      <c r="L34" s="7"/>
      <c r="M34" s="7"/>
      <c r="S34" s="8"/>
      <c r="T34" s="5"/>
      <c r="U34" s="7"/>
      <c r="V34" s="7"/>
    </row>
    <row r="35" spans="9:22" x14ac:dyDescent="0.25">
      <c r="I35" s="5"/>
      <c r="L35" s="7"/>
      <c r="M35" s="7"/>
      <c r="S35" s="8"/>
      <c r="T35" s="5"/>
      <c r="U35" s="7"/>
      <c r="V35" s="7"/>
    </row>
    <row r="36" spans="9:22" x14ac:dyDescent="0.25">
      <c r="I36" s="5"/>
      <c r="L36" s="7"/>
      <c r="M36" s="7"/>
      <c r="S36" s="8"/>
      <c r="T36" s="5"/>
      <c r="U36" s="10"/>
      <c r="V36" s="10"/>
    </row>
    <row r="37" spans="9:22" x14ac:dyDescent="0.25">
      <c r="L37" s="7"/>
      <c r="M37" s="7"/>
      <c r="S37" s="8"/>
      <c r="T37" s="5"/>
      <c r="U37" s="7"/>
      <c r="V37" s="7"/>
    </row>
    <row r="38" spans="9:22" x14ac:dyDescent="0.25">
      <c r="I38" s="5"/>
      <c r="L38" s="7"/>
      <c r="M38" s="7"/>
      <c r="S38" s="8"/>
      <c r="T38" s="9"/>
      <c r="U38" s="7"/>
      <c r="V38" s="7"/>
    </row>
    <row r="39" spans="9:22" x14ac:dyDescent="0.25">
      <c r="I39" s="5"/>
    </row>
    <row r="40" spans="9:22" x14ac:dyDescent="0.25">
      <c r="I40" s="5"/>
    </row>
    <row r="42" spans="9:22" x14ac:dyDescent="0.25">
      <c r="I42" s="5"/>
    </row>
    <row r="43" spans="9:22" x14ac:dyDescent="0.25">
      <c r="I43" s="5"/>
    </row>
    <row r="44" spans="9:22" x14ac:dyDescent="0.25">
      <c r="I44" s="5"/>
    </row>
    <row r="46" spans="9:22" x14ac:dyDescent="0.25">
      <c r="I46" s="5"/>
    </row>
    <row r="47" spans="9:22" x14ac:dyDescent="0.25">
      <c r="I47" s="5"/>
    </row>
    <row r="48" spans="9:22" x14ac:dyDescent="0.25">
      <c r="I48" s="9"/>
    </row>
  </sheetData>
  <mergeCells count="2">
    <mergeCell ref="C3:D3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Dietas HERMETIA</vt:lpstr>
      <vt:lpstr>Dietas TENEBRIO</vt:lpstr>
      <vt:lpstr>Parámetros productivos HERMETIA</vt:lpstr>
      <vt:lpstr>Parámetro productivos TENEBRIO</vt:lpstr>
      <vt:lpstr>HERMETIA larvas</vt:lpstr>
      <vt:lpstr>TENEBRIO larvas</vt:lpstr>
      <vt:lpstr>TPC HERMETIA</vt:lpstr>
      <vt:lpstr>TPC TENEBRIO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Martin Garcia</dc:creator>
  <cp:lastModifiedBy>David Villanueva Bermejo</cp:lastModifiedBy>
  <dcterms:created xsi:type="dcterms:W3CDTF">2024-06-01T14:12:56Z</dcterms:created>
  <dcterms:modified xsi:type="dcterms:W3CDTF">2025-07-30T09:33:36Z</dcterms:modified>
</cp:coreProperties>
</file>